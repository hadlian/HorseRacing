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ce by Race" sheetId="2" state="visible" r:id="rId2"/>
    <sheet name="Breakdowns" sheetId="3" state="visible" r:id="rId3"/>
    <sheet name="CM Signals" sheetId="4" state="visible" r:id="rId4"/>
    <sheet name="Disagreement Ca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375623"/>
      </patternFill>
    </fill>
    <fill>
      <patternFill patternType="solid">
        <fgColor rgb="007030A0"/>
      </patternFill>
    </fill>
    <fill>
      <patternFill patternType="solid">
        <fgColor rgb="005959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3" borderId="0" applyAlignment="1" pivotButton="0" quotePrefix="0" xfId="0">
      <alignment horizontal="center" wrapText="1"/>
    </xf>
    <xf numFmtId="0" fontId="1" fillId="4" borderId="0" applyAlignment="1" pivotButton="0" quotePrefix="0" xfId="0">
      <alignment horizontal="center" wrapText="1"/>
    </xf>
    <xf numFmtId="0" fontId="1" fillId="5" borderId="0" applyAlignment="1" pivotButton="0" quotePrefix="0" xfId="0">
      <alignment horizontal="center" wrapText="1"/>
    </xf>
    <xf numFmtId="0" fontId="2" fillId="0" borderId="0" pivotButton="0" quotePrefix="0" xfId="0"/>
    <xf numFmtId="0" fontId="1" fillId="2" borderId="0" applyAlignment="1" pivotButton="0" quotePrefix="0" xfId="0">
      <alignment horizontal="center" wrapText="1"/>
    </xf>
    <xf numFmtId="0" fontId="3" fillId="0" borderId="0" pivotButton="0" quotePrefix="0" xfId="0"/>
    <xf numFmtId="0" fontId="1" fillId="6" borderId="0" applyAlignment="1" pivotButton="0" quotePrefix="0" xfId="0">
      <alignment horizont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1" t="inlineStr">
        <is>
          <t>Metric</t>
        </is>
      </c>
      <c r="B1" s="2" t="inlineStr">
        <is>
          <t>CompareModels</t>
        </is>
      </c>
      <c r="C1" s="3" t="inlineStr">
        <is>
          <t>R5</t>
        </is>
      </c>
    </row>
    <row r="2">
      <c r="A2" s="4" t="inlineStr">
        <is>
          <t>Top Pick Win Rate (%)</t>
        </is>
      </c>
      <c r="B2">
        <f>COUNTIF('Race by Race'!U2:U64,1)/COUNTA('Race by Race'!K2:K64)*100</f>
        <v/>
      </c>
      <c r="C2">
        <f>COUNTIF('Race by Race'!T2:T64,1)/COUNTA('Race by Race'!H2:H64)*100</f>
        <v/>
      </c>
    </row>
    <row r="3">
      <c r="A3" s="4" t="inlineStr">
        <is>
          <t>Top-3 Hit Rate (%)</t>
        </is>
      </c>
      <c r="B3">
        <f>COUNTIF('Race by Race'!R2:R64,"&lt;=3")/COUNTA('Race by Race'!K2:K64)*100</f>
        <v/>
      </c>
      <c r="C3">
        <f>COUNTIF('Race by Race'!Q2:Q64,"&lt;=3")/COUNTA('Race by Race'!H2:H64)*100</f>
        <v/>
      </c>
    </row>
    <row r="4">
      <c r="A4" s="4" t="inlineStr">
        <is>
          <t>Avg SP on Top Pick Wins</t>
        </is>
      </c>
      <c r="B4">
        <f>AVERAGEIF('Race by Race'!U2:U64,1,'Race by Race'!S2:S64)</f>
        <v/>
      </c>
      <c r="C4">
        <f>AVERAGEIF('Race by Race'!T2:T64,1,'Race by Race'!S2:S64)</f>
        <v/>
      </c>
    </row>
    <row r="5">
      <c r="A5" s="4" t="inlineStr">
        <is>
          <t>ROI on ML — $2 win (%)</t>
        </is>
      </c>
      <c r="B5">
        <f>SUM('Race by Race'!Y2:Y64)/(63*2)*100</f>
        <v/>
      </c>
      <c r="C5">
        <f>SUM('Race by Race'!X2:X64)/(63*2)*100</f>
        <v/>
      </c>
    </row>
    <row r="6">
      <c r="A6" s="4" t="inlineStr">
        <is>
          <t>ROI on SP — $2 win (%)</t>
        </is>
      </c>
      <c r="B6">
        <f>SUM('Race by Race'!AA2:AA64)/(63*2)*100</f>
        <v/>
      </c>
      <c r="C6">
        <f>SUM('Race by Race'!Z2:Z64)/(63*2)*100</f>
        <v/>
      </c>
    </row>
    <row r="7">
      <c r="A7" s="4" t="inlineStr">
        <is>
          <t>Agreement Rate (%)</t>
        </is>
      </c>
      <c r="B7">
        <f>COUNTIF('Race by Race'!O2:O64,"Y")/COUNTA('Race by Race'!O2:O64)*100</f>
        <v/>
      </c>
      <c r="C7" t="inlineStr">
        <is>
          <t>—</t>
        </is>
      </c>
    </row>
    <row r="8">
      <c r="A8" s="4" t="inlineStr">
        <is>
          <t>Disagreement Winner: CM right</t>
        </is>
      </c>
      <c r="B8">
        <f>COUNTIFS('Race by Race'!O2:O64,"N",'Race by Race'!U2:U64,1)</f>
        <v/>
      </c>
      <c r="C8" t="inlineStr">
        <is>
          <t>—</t>
        </is>
      </c>
    </row>
    <row r="9">
      <c r="A9" s="4" t="inlineStr">
        <is>
          <t>Disagreement Winner: R5 right</t>
        </is>
      </c>
      <c r="B9">
        <f>COUNTIFS('Race by Race'!O2:O64,"N",'Race by Race'!T2:T64,1)</f>
        <v/>
      </c>
      <c r="C9" t="inlineStr">
        <is>
          <t>—</t>
        </is>
      </c>
    </row>
    <row r="10">
      <c r="A10" s="4" t="inlineStr">
        <is>
          <t>Disagreement Winner: Tie/Other</t>
        </is>
      </c>
      <c r="B10">
        <f>COUNTIFS('Race by Race'!O2:O64,"N",'Race by Race'!T2:T64,0,'Race by Race'!U2:U64,0)</f>
        <v/>
      </c>
      <c r="C10" t="inlineStr">
        <is>
          <t>—</t>
        </is>
      </c>
    </row>
    <row r="11">
      <c r="A11" s="4" t="inlineStr">
        <is>
          <t>A-tier Hit Rate (%)</t>
        </is>
      </c>
      <c r="B11">
        <f>COUNTIFS('Race by Race'!L2:L64,"A",'Race by Race'!U2:U64,1)/COUNTIF('Race by Race'!L2:L64,"A")*100</f>
        <v/>
      </c>
      <c r="C11" t="inlineStr">
        <is>
          <t>—</t>
        </is>
      </c>
    </row>
    <row r="12">
      <c r="A12" s="4" t="inlineStr">
        <is>
          <t>HIGH-tier Hit Rate (%)</t>
        </is>
      </c>
      <c r="B12" t="inlineStr">
        <is>
          <t>—</t>
        </is>
      </c>
      <c r="C12">
        <f>COUNTIFS('Race by Race'!I2:I64,"HIGH",'Race by Race'!T2:T64,1)/COUNTIF('Race by Race'!I2:I64,"HIGH")*100</f>
        <v/>
      </c>
    </row>
    <row r="13">
      <c r="A13" s="4" t="inlineStr">
        <is>
          <t>Race Count</t>
        </is>
      </c>
      <c r="B13">
        <f>63</f>
        <v/>
      </c>
      <c r="C13">
        <f>63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5" customWidth="1" min="3" max="3"/>
    <col width="7" customWidth="1" min="4" max="4"/>
    <col width="7" customWidth="1" min="5" max="5"/>
    <col width="14" customWidth="1" min="6" max="6"/>
    <col width="12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10" customWidth="1" min="14" max="14"/>
    <col width="9" customWidth="1" min="15" max="15"/>
    <col width="22" customWidth="1" min="16" max="16"/>
    <col width="12" customWidth="1" min="17" max="17"/>
    <col width="12" customWidth="1" min="18" max="18"/>
    <col width="8" customWidth="1" min="19" max="19"/>
    <col width="7" customWidth="1" min="20" max="20"/>
    <col width="7" customWidth="1" min="21" max="21"/>
    <col width="8" customWidth="1" min="22" max="22"/>
    <col width="8" customWidth="1" min="23" max="23"/>
    <col width="8" customWidth="1" min="24" max="24"/>
    <col width="8" customWidth="1" min="25" max="25"/>
    <col width="9" customWidth="1" min="26" max="26"/>
    <col width="9" customWidth="1" min="27" max="27"/>
  </cols>
  <sheetData>
    <row r="1">
      <c r="A1" s="5" t="inlineStr">
        <is>
          <t>Date</t>
        </is>
      </c>
      <c r="B1" s="5" t="inlineStr">
        <is>
          <t>Track</t>
        </is>
      </c>
      <c r="C1" s="5" t="inlineStr">
        <is>
          <t>Race</t>
        </is>
      </c>
      <c r="D1" s="5" t="inlineStr">
        <is>
          <t>Surface</t>
        </is>
      </c>
      <c r="E1" s="5" t="inlineStr">
        <is>
          <t>Distance</t>
        </is>
      </c>
      <c r="F1" s="5" t="inlineStr">
        <is>
          <t>Race Type</t>
        </is>
      </c>
      <c r="G1" s="5" t="inlineStr">
        <is>
          <t>Pace Scenario</t>
        </is>
      </c>
      <c r="H1" s="5" t="inlineStr">
        <is>
          <t>R5 Pick</t>
        </is>
      </c>
      <c r="I1" s="5" t="inlineStr">
        <is>
          <t>R5 Tier</t>
        </is>
      </c>
      <c r="J1" s="5" t="inlineStr">
        <is>
          <t>R5 Score</t>
        </is>
      </c>
      <c r="K1" s="5" t="inlineStr">
        <is>
          <t>CM Pick</t>
        </is>
      </c>
      <c r="L1" s="5" t="inlineStr">
        <is>
          <t>CM Tier</t>
        </is>
      </c>
      <c r="M1" s="5" t="inlineStr">
        <is>
          <t>CM Composite</t>
        </is>
      </c>
      <c r="N1" s="5" t="inlineStr">
        <is>
          <t>CM Consensus</t>
        </is>
      </c>
      <c r="O1" s="5" t="inlineStr">
        <is>
          <t>Agreement</t>
        </is>
      </c>
      <c r="P1" s="5" t="inlineStr">
        <is>
          <t>Winner Name</t>
        </is>
      </c>
      <c r="Q1" s="5" t="inlineStr">
        <is>
          <t>Winner R5 Rank</t>
        </is>
      </c>
      <c r="R1" s="5" t="inlineStr">
        <is>
          <t>Winner CM Rank</t>
        </is>
      </c>
      <c r="S1" s="5" t="inlineStr">
        <is>
          <t>SP</t>
        </is>
      </c>
      <c r="T1" s="5" t="inlineStr">
        <is>
          <t>R5 Win</t>
        </is>
      </c>
      <c r="U1" s="5" t="inlineStr">
        <is>
          <t>CM Win</t>
        </is>
      </c>
      <c r="V1" s="5" t="inlineStr">
        <is>
          <t>R5 ML</t>
        </is>
      </c>
      <c r="W1" s="5" t="inlineStr">
        <is>
          <t>CM ML</t>
        </is>
      </c>
      <c r="X1" s="5" t="inlineStr">
        <is>
          <t>R5 ROI</t>
        </is>
      </c>
      <c r="Y1" s="5" t="inlineStr">
        <is>
          <t>CM ROI</t>
        </is>
      </c>
      <c r="Z1" s="5" t="inlineStr">
        <is>
          <t>R5 SP ROI</t>
        </is>
      </c>
      <c r="AA1" s="5" t="inlineStr">
        <is>
          <t>CM SP ROI</t>
        </is>
      </c>
      <c r="AB1" s="4" t="inlineStr">
        <is>
          <t>Field Size</t>
        </is>
      </c>
    </row>
    <row r="2">
      <c r="A2" t="inlineStr">
        <is>
          <t>20260502</t>
        </is>
      </c>
      <c r="B2" t="inlineStr">
        <is>
          <t>CDX</t>
        </is>
      </c>
      <c r="C2" t="n">
        <v>1</v>
      </c>
      <c r="D2" t="inlineStr">
        <is>
          <t>D</t>
        </is>
      </c>
      <c r="E2" t="n">
        <v>8.5</v>
      </c>
      <c r="F2" t="inlineStr">
        <is>
          <t>S</t>
        </is>
      </c>
      <c r="G2" t="inlineStr">
        <is>
          <t>NORMAL</t>
        </is>
      </c>
      <c r="H2" t="inlineStr">
        <is>
          <t>9</t>
        </is>
      </c>
      <c r="I2" t="inlineStr">
        <is>
          <t>SPEC</t>
        </is>
      </c>
      <c r="J2" t="n">
        <v>6.19</v>
      </c>
      <c r="K2" t="inlineStr">
        <is>
          <t>11</t>
        </is>
      </c>
      <c r="L2" t="inlineStr">
        <is>
          <t>A</t>
        </is>
      </c>
      <c r="M2" t="n">
        <v>8</v>
      </c>
      <c r="N2" t="n">
        <v>4</v>
      </c>
      <c r="O2" t="inlineStr">
        <is>
          <t>N</t>
        </is>
      </c>
      <c r="P2" t="inlineStr">
        <is>
          <t>POWERSHIFT</t>
        </is>
      </c>
      <c r="Q2" t="n">
        <v>4</v>
      </c>
      <c r="R2" t="n">
        <v>1</v>
      </c>
      <c r="S2" t="n">
        <v>4.14</v>
      </c>
      <c r="T2" t="n">
        <v>0</v>
      </c>
      <c r="U2" t="n">
        <v>1</v>
      </c>
      <c r="V2" t="n">
        <v>4.5</v>
      </c>
      <c r="W2" t="n">
        <v>3</v>
      </c>
      <c r="X2" t="n">
        <v>-2</v>
      </c>
      <c r="Y2" t="n">
        <v>4</v>
      </c>
      <c r="Z2" t="n">
        <v>-2</v>
      </c>
      <c r="AA2" t="n">
        <v>6.279999999999999</v>
      </c>
      <c r="AB2" t="n">
        <v>11</v>
      </c>
    </row>
    <row r="3">
      <c r="A3" t="inlineStr">
        <is>
          <t>20260502</t>
        </is>
      </c>
      <c r="B3" t="inlineStr">
        <is>
          <t>CDX</t>
        </is>
      </c>
      <c r="C3" t="n">
        <v>2</v>
      </c>
      <c r="D3" t="inlineStr">
        <is>
          <t>D</t>
        </is>
      </c>
      <c r="E3" t="n">
        <v>8.5</v>
      </c>
      <c r="F3" t="inlineStr">
        <is>
          <t>AO</t>
        </is>
      </c>
      <c r="G3" t="inlineStr">
        <is>
          <t>NORMAL</t>
        </is>
      </c>
      <c r="H3" t="inlineStr">
        <is>
          <t>6</t>
        </is>
      </c>
      <c r="I3" t="inlineStr">
        <is>
          <t>FAIR</t>
        </is>
      </c>
      <c r="J3" t="n">
        <v>6.83</v>
      </c>
      <c r="K3" t="inlineStr">
        <is>
          <t>6</t>
        </is>
      </c>
      <c r="L3" t="inlineStr">
        <is>
          <t>A</t>
        </is>
      </c>
      <c r="M3" t="n">
        <v>6</v>
      </c>
      <c r="N3" t="n">
        <v>3</v>
      </c>
      <c r="O3" t="inlineStr">
        <is>
          <t>Y</t>
        </is>
      </c>
      <c r="P3" t="inlineStr">
        <is>
          <t>OUT OF THE WOODS</t>
        </is>
      </c>
      <c r="Q3" t="n">
        <v>10</v>
      </c>
      <c r="R3" t="n">
        <v>4</v>
      </c>
      <c r="S3" t="n">
        <v>26.14</v>
      </c>
      <c r="T3" t="n">
        <v>0</v>
      </c>
      <c r="U3" t="n">
        <v>0</v>
      </c>
      <c r="V3" t="n">
        <v>8</v>
      </c>
      <c r="W3" t="n">
        <v>8</v>
      </c>
      <c r="X3" t="n">
        <v>-2</v>
      </c>
      <c r="Y3" t="n">
        <v>-2</v>
      </c>
      <c r="Z3" t="n">
        <v>-2</v>
      </c>
      <c r="AA3" t="n">
        <v>-2</v>
      </c>
      <c r="AB3" t="n">
        <v>12</v>
      </c>
    </row>
    <row r="4">
      <c r="A4" t="inlineStr">
        <is>
          <t>20260502</t>
        </is>
      </c>
      <c r="B4" t="inlineStr">
        <is>
          <t>CDX</t>
        </is>
      </c>
      <c r="C4" t="n">
        <v>3</v>
      </c>
      <c r="D4" t="inlineStr">
        <is>
          <t>D</t>
        </is>
      </c>
      <c r="E4" t="n">
        <v>8</v>
      </c>
      <c r="F4" t="inlineStr">
        <is>
          <t>AO</t>
        </is>
      </c>
      <c r="G4" t="inlineStr">
        <is>
          <t>HOT</t>
        </is>
      </c>
      <c r="H4" t="inlineStr">
        <is>
          <t>12</t>
        </is>
      </c>
      <c r="I4" t="inlineStr">
        <is>
          <t>FAIR</t>
        </is>
      </c>
      <c r="J4" t="n">
        <v>6.66</v>
      </c>
      <c r="K4" t="inlineStr">
        <is>
          <t>6</t>
        </is>
      </c>
      <c r="L4" t="inlineStr">
        <is>
          <t>A</t>
        </is>
      </c>
      <c r="M4" t="n">
        <v>8</v>
      </c>
      <c r="N4" t="n">
        <v>5</v>
      </c>
      <c r="O4" t="inlineStr">
        <is>
          <t>N</t>
        </is>
      </c>
      <c r="P4" t="inlineStr">
        <is>
          <t>VIBE</t>
        </is>
      </c>
      <c r="Q4" t="n">
        <v>9</v>
      </c>
      <c r="R4" t="n">
        <v>11</v>
      </c>
      <c r="S4" t="n">
        <v>16.48</v>
      </c>
      <c r="T4" t="n">
        <v>0</v>
      </c>
      <c r="U4" t="n">
        <v>0</v>
      </c>
      <c r="V4" t="n">
        <v>3</v>
      </c>
      <c r="W4" t="n">
        <v>4.5</v>
      </c>
      <c r="X4" t="n">
        <v>-2</v>
      </c>
      <c r="Y4" t="n">
        <v>-2</v>
      </c>
      <c r="Z4" t="n">
        <v>-2</v>
      </c>
      <c r="AA4" t="n">
        <v>-2</v>
      </c>
      <c r="AB4" t="n">
        <v>14</v>
      </c>
    </row>
    <row r="5">
      <c r="A5" t="inlineStr">
        <is>
          <t>20260502</t>
        </is>
      </c>
      <c r="B5" t="inlineStr">
        <is>
          <t>CDX</t>
        </is>
      </c>
      <c r="C5" t="n">
        <v>4</v>
      </c>
      <c r="D5" t="inlineStr">
        <is>
          <t>D</t>
        </is>
      </c>
      <c r="E5" t="n">
        <v>7</v>
      </c>
      <c r="F5" t="inlineStr">
        <is>
          <t>G1</t>
        </is>
      </c>
      <c r="G5" t="inlineStr">
        <is>
          <t>SLOW</t>
        </is>
      </c>
      <c r="H5" t="inlineStr">
        <is>
          <t>4</t>
        </is>
      </c>
      <c r="I5" t="inlineStr">
        <is>
          <t>FAIR</t>
        </is>
      </c>
      <c r="J5" t="n">
        <v>7.11</v>
      </c>
      <c r="K5" t="inlineStr">
        <is>
          <t>4</t>
        </is>
      </c>
      <c r="L5" t="inlineStr">
        <is>
          <t>A</t>
        </is>
      </c>
      <c r="M5" t="n">
        <v>11</v>
      </c>
      <c r="N5" t="n">
        <v>6</v>
      </c>
      <c r="O5" t="inlineStr">
        <is>
          <t>Y</t>
        </is>
      </c>
      <c r="P5" t="inlineStr">
        <is>
          <t>R DISASTER</t>
        </is>
      </c>
      <c r="Q5" t="n">
        <v>4</v>
      </c>
      <c r="R5" t="n">
        <v>5</v>
      </c>
      <c r="S5" t="n">
        <v>16.26</v>
      </c>
      <c r="T5" t="n">
        <v>0</v>
      </c>
      <c r="U5" t="n">
        <v>0</v>
      </c>
      <c r="V5" t="n">
        <v>1.6</v>
      </c>
      <c r="W5" t="n">
        <v>1.6</v>
      </c>
      <c r="X5" t="n">
        <v>-2</v>
      </c>
      <c r="Y5" t="n">
        <v>-2</v>
      </c>
      <c r="Z5" t="n">
        <v>-2</v>
      </c>
      <c r="AA5" t="n">
        <v>-2</v>
      </c>
      <c r="AB5" t="n">
        <v>6</v>
      </c>
    </row>
    <row r="6">
      <c r="A6" t="inlineStr">
        <is>
          <t>20260502</t>
        </is>
      </c>
      <c r="B6" t="inlineStr">
        <is>
          <t>CDX</t>
        </is>
      </c>
      <c r="C6" t="n">
        <v>5</v>
      </c>
      <c r="D6" t="inlineStr">
        <is>
          <t>T</t>
        </is>
      </c>
      <c r="E6" t="n">
        <v>5.5</v>
      </c>
      <c r="F6" t="inlineStr">
        <is>
          <t>G2</t>
        </is>
      </c>
      <c r="G6" t="inlineStr">
        <is>
          <t>HOT</t>
        </is>
      </c>
      <c r="H6" t="inlineStr">
        <is>
          <t>5</t>
        </is>
      </c>
      <c r="I6" t="inlineStr">
        <is>
          <t>SPEC</t>
        </is>
      </c>
      <c r="J6" t="n">
        <v>6.24</v>
      </c>
      <c r="K6" t="inlineStr">
        <is>
          <t>1</t>
        </is>
      </c>
      <c r="L6" t="inlineStr">
        <is>
          <t>A</t>
        </is>
      </c>
      <c r="M6" t="n">
        <v>7</v>
      </c>
      <c r="N6" t="n">
        <v>3</v>
      </c>
      <c r="O6" t="inlineStr">
        <is>
          <t>N</t>
        </is>
      </c>
      <c r="P6" t="inlineStr">
        <is>
          <t>YELLOW CARD</t>
        </is>
      </c>
      <c r="Q6" t="n">
        <v>5</v>
      </c>
      <c r="R6" t="n">
        <v>4</v>
      </c>
      <c r="S6" t="n">
        <v>7.8</v>
      </c>
      <c r="T6" t="n">
        <v>0</v>
      </c>
      <c r="U6" t="n">
        <v>0</v>
      </c>
      <c r="V6" t="n">
        <v>10</v>
      </c>
      <c r="W6" t="n">
        <v>15</v>
      </c>
      <c r="X6" t="n">
        <v>-2</v>
      </c>
      <c r="Y6" t="n">
        <v>-2</v>
      </c>
      <c r="Z6" t="n">
        <v>-2</v>
      </c>
      <c r="AA6" t="n">
        <v>-2</v>
      </c>
      <c r="AB6" t="n">
        <v>10</v>
      </c>
    </row>
    <row r="7">
      <c r="A7" t="inlineStr">
        <is>
          <t>20260502</t>
        </is>
      </c>
      <c r="B7" t="inlineStr">
        <is>
          <t>CDX</t>
        </is>
      </c>
      <c r="C7" t="n">
        <v>6</v>
      </c>
      <c r="D7" t="inlineStr">
        <is>
          <t>D</t>
        </is>
      </c>
      <c r="E7" t="n">
        <v>8</v>
      </c>
      <c r="F7" t="inlineStr">
        <is>
          <t>N</t>
        </is>
      </c>
      <c r="G7" t="inlineStr">
        <is>
          <t>NORMAL</t>
        </is>
      </c>
      <c r="H7" t="inlineStr">
        <is>
          <t>4</t>
        </is>
      </c>
      <c r="I7" t="inlineStr">
        <is>
          <t>FAIR</t>
        </is>
      </c>
      <c r="J7" t="n">
        <v>6.64</v>
      </c>
      <c r="K7" t="inlineStr">
        <is>
          <t>2</t>
        </is>
      </c>
      <c r="L7" t="inlineStr">
        <is>
          <t>A</t>
        </is>
      </c>
      <c r="M7" t="n">
        <v>8</v>
      </c>
      <c r="N7" t="n">
        <v>4</v>
      </c>
      <c r="O7" t="inlineStr">
        <is>
          <t>N</t>
        </is>
      </c>
      <c r="P7" t="inlineStr">
        <is>
          <t>TOUR PLAYER</t>
        </is>
      </c>
      <c r="Q7" t="n">
        <v>3</v>
      </c>
      <c r="R7" t="n">
        <v>6</v>
      </c>
      <c r="S7" t="n">
        <v>8.699999999999999</v>
      </c>
      <c r="T7" t="n">
        <v>0</v>
      </c>
      <c r="U7" t="n">
        <v>0</v>
      </c>
      <c r="V7" t="n">
        <v>3.5</v>
      </c>
      <c r="W7" t="n">
        <v>3</v>
      </c>
      <c r="X7" t="n">
        <v>-2</v>
      </c>
      <c r="Y7" t="n">
        <v>-2</v>
      </c>
      <c r="Z7" t="n">
        <v>-2</v>
      </c>
      <c r="AA7" t="n">
        <v>-2</v>
      </c>
      <c r="AB7" t="n">
        <v>11</v>
      </c>
    </row>
    <row r="8">
      <c r="A8" t="inlineStr">
        <is>
          <t>20260502</t>
        </is>
      </c>
      <c r="B8" t="inlineStr">
        <is>
          <t>CDX</t>
        </is>
      </c>
      <c r="C8" t="n">
        <v>7</v>
      </c>
      <c r="D8" t="inlineStr">
        <is>
          <t>T</t>
        </is>
      </c>
      <c r="E8" t="n">
        <v>8</v>
      </c>
      <c r="F8" t="inlineStr">
        <is>
          <t>G2</t>
        </is>
      </c>
      <c r="G8" t="inlineStr">
        <is>
          <t>NORMAL</t>
        </is>
      </c>
      <c r="H8" t="inlineStr">
        <is>
          <t>2</t>
        </is>
      </c>
      <c r="I8" t="inlineStr">
        <is>
          <t>SPEC</t>
        </is>
      </c>
      <c r="J8" t="n">
        <v>6.05</v>
      </c>
      <c r="K8" t="inlineStr">
        <is>
          <t>7</t>
        </is>
      </c>
      <c r="L8" t="inlineStr">
        <is>
          <t>A</t>
        </is>
      </c>
      <c r="M8" t="n">
        <v>9</v>
      </c>
      <c r="N8" t="n">
        <v>6</v>
      </c>
      <c r="O8" t="inlineStr">
        <is>
          <t>N</t>
        </is>
      </c>
      <c r="P8" t="inlineStr">
        <is>
          <t>CLASSIC Q</t>
        </is>
      </c>
      <c r="Q8" t="n">
        <v>9</v>
      </c>
      <c r="R8" t="n">
        <v>7</v>
      </c>
      <c r="S8" t="n">
        <v>15.62</v>
      </c>
      <c r="T8" t="n">
        <v>0</v>
      </c>
      <c r="U8" t="n">
        <v>0</v>
      </c>
      <c r="V8" t="n">
        <v>2.5</v>
      </c>
      <c r="W8" t="n">
        <v>12</v>
      </c>
      <c r="X8" t="n">
        <v>-2</v>
      </c>
      <c r="Y8" t="n">
        <v>-2</v>
      </c>
      <c r="Z8" t="n">
        <v>-2</v>
      </c>
      <c r="AA8" t="n">
        <v>-2</v>
      </c>
      <c r="AB8" t="n">
        <v>9</v>
      </c>
    </row>
    <row r="9">
      <c r="A9" t="inlineStr">
        <is>
          <t>20260502</t>
        </is>
      </c>
      <c r="B9" t="inlineStr">
        <is>
          <t>CDX</t>
        </is>
      </c>
      <c r="C9" t="n">
        <v>8</v>
      </c>
      <c r="D9" t="inlineStr">
        <is>
          <t>D</t>
        </is>
      </c>
      <c r="E9" t="n">
        <v>8</v>
      </c>
      <c r="F9" t="inlineStr">
        <is>
          <t>G2</t>
        </is>
      </c>
      <c r="G9" t="inlineStr">
        <is>
          <t>HOT</t>
        </is>
      </c>
      <c r="H9" t="inlineStr">
        <is>
          <t>6</t>
        </is>
      </c>
      <c r="I9" t="inlineStr">
        <is>
          <t>FAIR</t>
        </is>
      </c>
      <c r="J9" t="n">
        <v>7.28</v>
      </c>
      <c r="K9" t="inlineStr">
        <is>
          <t>1</t>
        </is>
      </c>
      <c r="L9" t="inlineStr">
        <is>
          <t>A</t>
        </is>
      </c>
      <c r="M9" t="n">
        <v>7</v>
      </c>
      <c r="N9" t="n">
        <v>5</v>
      </c>
      <c r="O9" t="inlineStr">
        <is>
          <t>N</t>
        </is>
      </c>
      <c r="P9" t="inlineStr">
        <is>
          <t>CRUDE VELOCITY</t>
        </is>
      </c>
      <c r="Q9" t="n">
        <v>1</v>
      </c>
      <c r="R9" t="n">
        <v>2</v>
      </c>
      <c r="S9" t="n">
        <v>5.14</v>
      </c>
      <c r="T9" t="n">
        <v>1</v>
      </c>
      <c r="U9" t="n">
        <v>0</v>
      </c>
      <c r="V9" t="n">
        <v>2.5</v>
      </c>
      <c r="W9" t="n">
        <v>3</v>
      </c>
      <c r="X9" t="n">
        <v>3</v>
      </c>
      <c r="Y9" t="n">
        <v>-2</v>
      </c>
      <c r="Z9" t="n">
        <v>8.279999999999999</v>
      </c>
      <c r="AA9" t="n">
        <v>-2</v>
      </c>
      <c r="AB9" t="n">
        <v>12</v>
      </c>
    </row>
    <row r="10">
      <c r="A10" t="inlineStr">
        <is>
          <t>20260502</t>
        </is>
      </c>
      <c r="B10" t="inlineStr">
        <is>
          <t>CDX</t>
        </is>
      </c>
      <c r="C10" t="n">
        <v>9</v>
      </c>
      <c r="D10" t="inlineStr">
        <is>
          <t>T</t>
        </is>
      </c>
      <c r="E10" t="n">
        <v>8.5</v>
      </c>
      <c r="F10" t="inlineStr">
        <is>
          <t>G1</t>
        </is>
      </c>
      <c r="G10" t="inlineStr">
        <is>
          <t>NORMAL</t>
        </is>
      </c>
      <c r="H10" t="inlineStr">
        <is>
          <t>8</t>
        </is>
      </c>
      <c r="I10" t="inlineStr">
        <is>
          <t>SPEC</t>
        </is>
      </c>
      <c r="J10" t="n">
        <v>5.73</v>
      </c>
      <c r="K10" t="inlineStr">
        <is>
          <t>4</t>
        </is>
      </c>
      <c r="L10" t="inlineStr">
        <is>
          <t>A</t>
        </is>
      </c>
      <c r="M10" t="n">
        <v>6</v>
      </c>
      <c r="N10" t="n">
        <v>4</v>
      </c>
      <c r="O10" t="inlineStr">
        <is>
          <t>N</t>
        </is>
      </c>
      <c r="P10" t="inlineStr">
        <is>
          <t>STARK CONTRAST</t>
        </is>
      </c>
      <c r="Q10" t="n">
        <v>3</v>
      </c>
      <c r="R10" t="n">
        <v>1</v>
      </c>
      <c r="S10" t="n">
        <v>4.4</v>
      </c>
      <c r="T10" t="n">
        <v>0</v>
      </c>
      <c r="U10" t="n">
        <v>1</v>
      </c>
      <c r="V10" t="n">
        <v>6</v>
      </c>
      <c r="W10" t="n">
        <v>4</v>
      </c>
      <c r="X10" t="n">
        <v>-2</v>
      </c>
      <c r="Y10" t="n">
        <v>6</v>
      </c>
      <c r="Z10" t="n">
        <v>-2</v>
      </c>
      <c r="AA10" t="n">
        <v>6.800000000000001</v>
      </c>
      <c r="AB10" t="n">
        <v>14</v>
      </c>
    </row>
    <row r="11">
      <c r="A11" t="inlineStr">
        <is>
          <t>20260502</t>
        </is>
      </c>
      <c r="B11" t="inlineStr">
        <is>
          <t>CDX</t>
        </is>
      </c>
      <c r="C11" t="n">
        <v>10</v>
      </c>
      <c r="D11" t="inlineStr">
        <is>
          <t>D</t>
        </is>
      </c>
      <c r="E11" t="n">
        <v>7</v>
      </c>
      <c r="F11" t="inlineStr">
        <is>
          <t>G1</t>
        </is>
      </c>
      <c r="G11" t="inlineStr">
        <is>
          <t>NORMAL</t>
        </is>
      </c>
      <c r="H11" t="inlineStr">
        <is>
          <t>2</t>
        </is>
      </c>
      <c r="I11" t="inlineStr">
        <is>
          <t>FAIR</t>
        </is>
      </c>
      <c r="J11" t="n">
        <v>6.83</v>
      </c>
      <c r="K11" t="inlineStr">
        <is>
          <t>2</t>
        </is>
      </c>
      <c r="L11" t="inlineStr">
        <is>
          <t>A</t>
        </is>
      </c>
      <c r="M11" t="n">
        <v>7</v>
      </c>
      <c r="N11" t="n">
        <v>4</v>
      </c>
      <c r="O11" t="inlineStr">
        <is>
          <t>Y</t>
        </is>
      </c>
      <c r="P11" t="inlineStr">
        <is>
          <t>T O ELVIS</t>
        </is>
      </c>
      <c r="Q11" t="n">
        <v>11</v>
      </c>
      <c r="R11" t="n">
        <v>10</v>
      </c>
      <c r="S11" t="n">
        <v>13.74</v>
      </c>
      <c r="T11" t="n">
        <v>0</v>
      </c>
      <c r="U11" t="n">
        <v>0</v>
      </c>
      <c r="V11" t="n">
        <v>3.5</v>
      </c>
      <c r="W11" t="n">
        <v>3.5</v>
      </c>
      <c r="X11" t="n">
        <v>-2</v>
      </c>
      <c r="Y11" t="n">
        <v>-2</v>
      </c>
      <c r="Z11" t="n">
        <v>-2</v>
      </c>
      <c r="AA11" t="n">
        <v>-2</v>
      </c>
      <c r="AB11" t="n">
        <v>11</v>
      </c>
    </row>
    <row r="12">
      <c r="A12" t="inlineStr">
        <is>
          <t>20260502</t>
        </is>
      </c>
      <c r="B12" t="inlineStr">
        <is>
          <t>CDX</t>
        </is>
      </c>
      <c r="C12" t="n">
        <v>11</v>
      </c>
      <c r="D12" t="inlineStr">
        <is>
          <t>T</t>
        </is>
      </c>
      <c r="E12" t="n">
        <v>9</v>
      </c>
      <c r="F12" t="inlineStr">
        <is>
          <t>G1</t>
        </is>
      </c>
      <c r="G12" t="inlineStr">
        <is>
          <t>SLOW</t>
        </is>
      </c>
      <c r="H12" t="inlineStr">
        <is>
          <t>1</t>
        </is>
      </c>
      <c r="I12" t="inlineStr">
        <is>
          <t>FAIR</t>
        </is>
      </c>
      <c r="J12" t="n">
        <v>7.19</v>
      </c>
      <c r="K12" t="inlineStr">
        <is>
          <t>4</t>
        </is>
      </c>
      <c r="L12" t="inlineStr">
        <is>
          <t>A</t>
        </is>
      </c>
      <c r="M12" t="n">
        <v>5</v>
      </c>
      <c r="N12" t="n">
        <v>4</v>
      </c>
      <c r="O12" t="inlineStr">
        <is>
          <t>N</t>
        </is>
      </c>
      <c r="P12" t="inlineStr">
        <is>
          <t>RHETORICAL</t>
        </is>
      </c>
      <c r="Q12" t="n">
        <v>6</v>
      </c>
      <c r="R12" t="n">
        <v>4</v>
      </c>
      <c r="S12" t="n">
        <v>5.92</v>
      </c>
      <c r="T12" t="n">
        <v>0</v>
      </c>
      <c r="U12" t="n">
        <v>0</v>
      </c>
      <c r="V12" t="n">
        <v>15</v>
      </c>
      <c r="W12" t="n">
        <v>4</v>
      </c>
      <c r="X12" t="n">
        <v>-2</v>
      </c>
      <c r="Y12" t="n">
        <v>-2</v>
      </c>
      <c r="Z12" t="n">
        <v>-2</v>
      </c>
      <c r="AA12" t="n">
        <v>-2</v>
      </c>
      <c r="AB12" t="n">
        <v>10</v>
      </c>
    </row>
    <row r="13">
      <c r="A13" t="inlineStr">
        <is>
          <t>20260502</t>
        </is>
      </c>
      <c r="B13" t="inlineStr">
        <is>
          <t>CDX</t>
        </is>
      </c>
      <c r="C13" t="n">
        <v>12</v>
      </c>
      <c r="D13" t="inlineStr">
        <is>
          <t>D</t>
        </is>
      </c>
      <c r="E13" t="n">
        <v>10</v>
      </c>
      <c r="F13" t="inlineStr">
        <is>
          <t>G1</t>
        </is>
      </c>
      <c r="G13" t="inlineStr">
        <is>
          <t>NORMAL</t>
        </is>
      </c>
      <c r="H13" t="inlineStr">
        <is>
          <t>15</t>
        </is>
      </c>
      <c r="I13" t="inlineStr">
        <is>
          <t>FAIR</t>
        </is>
      </c>
      <c r="J13" t="n">
        <v>7.05</v>
      </c>
      <c r="K13" t="inlineStr">
        <is>
          <t>18</t>
        </is>
      </c>
      <c r="L13" t="inlineStr">
        <is>
          <t>A</t>
        </is>
      </c>
      <c r="M13" t="n">
        <v>6</v>
      </c>
      <c r="N13" t="n">
        <v>3</v>
      </c>
      <c r="O13" t="inlineStr">
        <is>
          <t>N</t>
        </is>
      </c>
      <c r="P13" t="inlineStr">
        <is>
          <t>GOLDEN TEMPO</t>
        </is>
      </c>
      <c r="Q13" t="n">
        <v>5</v>
      </c>
      <c r="R13" t="n">
        <v>11</v>
      </c>
      <c r="S13" t="n">
        <v>48.24</v>
      </c>
      <c r="T13" t="n">
        <v>0</v>
      </c>
      <c r="U13" t="n">
        <v>0</v>
      </c>
      <c r="V13" t="n">
        <v>15</v>
      </c>
      <c r="W13" t="n">
        <v>6</v>
      </c>
      <c r="X13" t="n">
        <v>-2</v>
      </c>
      <c r="Y13" t="n">
        <v>-2</v>
      </c>
      <c r="Z13" t="n">
        <v>-2</v>
      </c>
      <c r="AA13" t="n">
        <v>-2</v>
      </c>
      <c r="AB13" t="n">
        <v>24</v>
      </c>
    </row>
    <row r="14">
      <c r="A14" t="inlineStr">
        <is>
          <t>20260502</t>
        </is>
      </c>
      <c r="B14" t="inlineStr">
        <is>
          <t>CDX</t>
        </is>
      </c>
      <c r="C14" t="n">
        <v>13</v>
      </c>
      <c r="D14" t="inlineStr">
        <is>
          <t>D</t>
        </is>
      </c>
      <c r="E14" t="n">
        <v>6.5</v>
      </c>
      <c r="F14" t="inlineStr">
        <is>
          <t>AO</t>
        </is>
      </c>
      <c r="G14" t="inlineStr">
        <is>
          <t>HOT</t>
        </is>
      </c>
      <c r="H14" t="inlineStr">
        <is>
          <t>8</t>
        </is>
      </c>
      <c r="I14" t="inlineStr">
        <is>
          <t>FAIR</t>
        </is>
      </c>
      <c r="J14" t="n">
        <v>7.06</v>
      </c>
      <c r="K14" t="inlineStr">
        <is>
          <t>8</t>
        </is>
      </c>
      <c r="L14" t="inlineStr">
        <is>
          <t>A</t>
        </is>
      </c>
      <c r="M14" t="n">
        <v>9</v>
      </c>
      <c r="N14" t="n">
        <v>4</v>
      </c>
      <c r="O14" t="inlineStr">
        <is>
          <t>Y</t>
        </is>
      </c>
      <c r="P14" t="inlineStr">
        <is>
          <t>GILDED BANDIT</t>
        </is>
      </c>
      <c r="Q14" t="n">
        <v>1</v>
      </c>
      <c r="R14" t="n">
        <v>1</v>
      </c>
      <c r="S14" t="n">
        <v>5.68</v>
      </c>
      <c r="T14" t="n">
        <v>1</v>
      </c>
      <c r="U14" t="n">
        <v>1</v>
      </c>
      <c r="V14" t="n">
        <v>3</v>
      </c>
      <c r="W14" t="n">
        <v>3</v>
      </c>
      <c r="X14" t="n">
        <v>4</v>
      </c>
      <c r="Y14" t="n">
        <v>4</v>
      </c>
      <c r="Z14" t="n">
        <v>9.359999999999999</v>
      </c>
      <c r="AA14" t="n">
        <v>9.359999999999999</v>
      </c>
      <c r="AB14" t="n">
        <v>11</v>
      </c>
    </row>
    <row r="15">
      <c r="A15" t="inlineStr">
        <is>
          <t>20260502</t>
        </is>
      </c>
      <c r="B15" t="inlineStr">
        <is>
          <t>CDX</t>
        </is>
      </c>
      <c r="C15" t="n">
        <v>14</v>
      </c>
      <c r="D15" t="inlineStr">
        <is>
          <t>D</t>
        </is>
      </c>
      <c r="E15" t="n">
        <v>7</v>
      </c>
      <c r="F15" t="inlineStr">
        <is>
          <t>S</t>
        </is>
      </c>
      <c r="G15" t="inlineStr">
        <is>
          <t>NORMAL</t>
        </is>
      </c>
      <c r="H15" t="inlineStr">
        <is>
          <t>9</t>
        </is>
      </c>
      <c r="I15" t="inlineStr">
        <is>
          <t>SPEC</t>
        </is>
      </c>
      <c r="J15" t="n">
        <v>5.2</v>
      </c>
      <c r="K15" t="inlineStr">
        <is>
          <t>6</t>
        </is>
      </c>
      <c r="L15" t="inlineStr">
        <is>
          <t>A</t>
        </is>
      </c>
      <c r="M15" t="n">
        <v>6</v>
      </c>
      <c r="N15" t="n">
        <v>4</v>
      </c>
      <c r="O15" t="inlineStr">
        <is>
          <t>N</t>
        </is>
      </c>
      <c r="P15" t="inlineStr">
        <is>
          <t>PRIZE PICK</t>
        </is>
      </c>
      <c r="Q15" t="n">
        <v>11</v>
      </c>
      <c r="R15" t="n">
        <v>1</v>
      </c>
      <c r="S15" t="n">
        <v>15.88</v>
      </c>
      <c r="T15" t="n">
        <v>0</v>
      </c>
      <c r="U15" t="n">
        <v>1</v>
      </c>
      <c r="V15" t="n">
        <v>8</v>
      </c>
      <c r="W15" t="n">
        <v>12</v>
      </c>
      <c r="X15" t="n">
        <v>-2</v>
      </c>
      <c r="Y15" t="n">
        <v>22</v>
      </c>
      <c r="Z15" t="n">
        <v>-2</v>
      </c>
      <c r="AA15" t="n">
        <v>29.76</v>
      </c>
      <c r="AB15" t="n">
        <v>14</v>
      </c>
    </row>
    <row r="16">
      <c r="A16" t="inlineStr">
        <is>
          <t>20260502</t>
        </is>
      </c>
      <c r="B16" t="inlineStr">
        <is>
          <t>DBY</t>
        </is>
      </c>
      <c r="C16" t="n">
        <v>12</v>
      </c>
      <c r="D16" t="inlineStr">
        <is>
          <t>D</t>
        </is>
      </c>
      <c r="E16" t="n">
        <v>10</v>
      </c>
      <c r="F16" t="inlineStr">
        <is>
          <t>G1</t>
        </is>
      </c>
      <c r="G16" t="inlineStr">
        <is>
          <t>NORMAL</t>
        </is>
      </c>
      <c r="H16" t="inlineStr">
        <is>
          <t>15</t>
        </is>
      </c>
      <c r="I16" t="inlineStr">
        <is>
          <t>FAIR</t>
        </is>
      </c>
      <c r="J16" t="n">
        <v>7.05</v>
      </c>
      <c r="K16" t="inlineStr">
        <is>
          <t>18</t>
        </is>
      </c>
      <c r="L16" t="inlineStr">
        <is>
          <t>A</t>
        </is>
      </c>
      <c r="M16" t="n">
        <v>6</v>
      </c>
      <c r="N16" t="n">
        <v>3</v>
      </c>
      <c r="O16" t="inlineStr">
        <is>
          <t>N</t>
        </is>
      </c>
      <c r="P16" t="inlineStr">
        <is>
          <t>GOLDEN TEMPO</t>
        </is>
      </c>
      <c r="Q16" t="n">
        <v>5</v>
      </c>
      <c r="R16" t="n">
        <v>11</v>
      </c>
      <c r="S16" t="n">
        <v>48.24</v>
      </c>
      <c r="T16" t="n">
        <v>0</v>
      </c>
      <c r="U16" t="n">
        <v>0</v>
      </c>
      <c r="V16" t="n">
        <v>15</v>
      </c>
      <c r="W16" t="n">
        <v>6</v>
      </c>
      <c r="X16" t="n">
        <v>-2</v>
      </c>
      <c r="Y16" t="n">
        <v>-2</v>
      </c>
      <c r="Z16" t="n">
        <v>-2</v>
      </c>
      <c r="AA16" t="n">
        <v>-2</v>
      </c>
      <c r="AB16" t="n">
        <v>24</v>
      </c>
    </row>
    <row r="17">
      <c r="A17" t="inlineStr">
        <is>
          <t>20260507</t>
        </is>
      </c>
      <c r="B17" t="inlineStr">
        <is>
          <t>CDX</t>
        </is>
      </c>
      <c r="C17" t="n">
        <v>1</v>
      </c>
      <c r="D17" t="inlineStr">
        <is>
          <t>D</t>
        </is>
      </c>
      <c r="E17" t="n">
        <v>8</v>
      </c>
      <c r="F17" t="inlineStr">
        <is>
          <t>M</t>
        </is>
      </c>
      <c r="G17" t="inlineStr">
        <is>
          <t>NORMAL</t>
        </is>
      </c>
      <c r="H17" t="inlineStr">
        <is>
          <t>2</t>
        </is>
      </c>
      <c r="I17" t="inlineStr">
        <is>
          <t>SPEC</t>
        </is>
      </c>
      <c r="J17" t="n">
        <v>5.51</v>
      </c>
      <c r="K17" t="inlineStr">
        <is>
          <t>2</t>
        </is>
      </c>
      <c r="L17" t="inlineStr">
        <is>
          <t>A</t>
        </is>
      </c>
      <c r="M17" t="n">
        <v>10</v>
      </c>
      <c r="N17" t="n">
        <v>6</v>
      </c>
      <c r="O17" t="inlineStr">
        <is>
          <t>Y</t>
        </is>
      </c>
      <c r="P17" t="inlineStr">
        <is>
          <t>PAMPERED PRINCE</t>
        </is>
      </c>
      <c r="Q17" t="n">
        <v>3</v>
      </c>
      <c r="R17" t="n">
        <v>4</v>
      </c>
      <c r="S17" t="n">
        <v>9.199999999999999</v>
      </c>
      <c r="T17" t="n">
        <v>0</v>
      </c>
      <c r="U17" t="n">
        <v>0</v>
      </c>
      <c r="V17" t="n">
        <v>3</v>
      </c>
      <c r="W17" t="n">
        <v>3</v>
      </c>
      <c r="X17" t="n">
        <v>-2</v>
      </c>
      <c r="Y17" t="n">
        <v>-2</v>
      </c>
      <c r="Z17" t="n">
        <v>-2</v>
      </c>
      <c r="AA17" t="n">
        <v>-2</v>
      </c>
      <c r="AB17" t="n">
        <v>8</v>
      </c>
    </row>
    <row r="18">
      <c r="A18" t="inlineStr">
        <is>
          <t>20260507</t>
        </is>
      </c>
      <c r="B18" t="inlineStr">
        <is>
          <t>CDX</t>
        </is>
      </c>
      <c r="C18" t="n">
        <v>2</v>
      </c>
      <c r="D18" t="inlineStr">
        <is>
          <t>D</t>
        </is>
      </c>
      <c r="E18" t="n">
        <v>8.5</v>
      </c>
      <c r="F18" t="inlineStr">
        <is>
          <t>C</t>
        </is>
      </c>
      <c r="G18" t="inlineStr">
        <is>
          <t>NORMAL</t>
        </is>
      </c>
      <c r="H18" t="inlineStr">
        <is>
          <t>1</t>
        </is>
      </c>
      <c r="I18" t="inlineStr">
        <is>
          <t>SPEC</t>
        </is>
      </c>
      <c r="J18" t="n">
        <v>5.33</v>
      </c>
      <c r="K18" t="inlineStr">
        <is>
          <t>1</t>
        </is>
      </c>
      <c r="L18" t="inlineStr">
        <is>
          <t>A</t>
        </is>
      </c>
      <c r="M18" t="n">
        <v>8</v>
      </c>
      <c r="N18" t="n">
        <v>4</v>
      </c>
      <c r="O18" t="inlineStr">
        <is>
          <t>Y</t>
        </is>
      </c>
      <c r="P18" t="inlineStr">
        <is>
          <t>DE' MEDICI</t>
        </is>
      </c>
      <c r="Q18" t="n">
        <v>7</v>
      </c>
      <c r="R18" t="n">
        <v>7</v>
      </c>
      <c r="S18" t="n">
        <v>6.48</v>
      </c>
      <c r="T18" t="n">
        <v>0</v>
      </c>
      <c r="U18" t="n">
        <v>0</v>
      </c>
      <c r="V18" t="n">
        <v>3</v>
      </c>
      <c r="W18" t="n">
        <v>3</v>
      </c>
      <c r="X18" t="n">
        <v>-2</v>
      </c>
      <c r="Y18" t="n">
        <v>-2</v>
      </c>
      <c r="Z18" t="n">
        <v>-2</v>
      </c>
      <c r="AA18" t="n">
        <v>-2</v>
      </c>
      <c r="AB18" t="n">
        <v>8</v>
      </c>
    </row>
    <row r="19">
      <c r="A19" t="inlineStr">
        <is>
          <t>20260507</t>
        </is>
      </c>
      <c r="B19" t="inlineStr">
        <is>
          <t>CDX</t>
        </is>
      </c>
      <c r="C19" t="n">
        <v>3</v>
      </c>
      <c r="D19" t="inlineStr">
        <is>
          <t>T</t>
        </is>
      </c>
      <c r="E19" t="n">
        <v>5</v>
      </c>
      <c r="F19" t="inlineStr">
        <is>
          <t>S</t>
        </is>
      </c>
      <c r="G19" t="inlineStr">
        <is>
          <t>HOT</t>
        </is>
      </c>
      <c r="H19" t="inlineStr">
        <is>
          <t>14</t>
        </is>
      </c>
      <c r="I19" t="inlineStr">
        <is>
          <t>SPEC</t>
        </is>
      </c>
      <c r="J19" t="n">
        <v>4.83</v>
      </c>
      <c r="K19" t="inlineStr">
        <is>
          <t>4</t>
        </is>
      </c>
      <c r="L19" t="inlineStr">
        <is>
          <t>A</t>
        </is>
      </c>
      <c r="M19" t="n">
        <v>8</v>
      </c>
      <c r="N19" t="n">
        <v>4</v>
      </c>
      <c r="O19" t="inlineStr">
        <is>
          <t>N</t>
        </is>
      </c>
      <c r="P19" t="inlineStr">
        <is>
          <t>GYPSY ART</t>
        </is>
      </c>
      <c r="Q19" t="n">
        <v>2</v>
      </c>
      <c r="R19" t="n">
        <v>1</v>
      </c>
      <c r="S19" t="n">
        <v>5.08</v>
      </c>
      <c r="T19" t="n">
        <v>0</v>
      </c>
      <c r="U19" t="n">
        <v>1</v>
      </c>
      <c r="V19" t="n">
        <v>30</v>
      </c>
      <c r="W19" t="n">
        <v>2</v>
      </c>
      <c r="X19" t="n">
        <v>-2</v>
      </c>
      <c r="Y19" t="n">
        <v>2</v>
      </c>
      <c r="Z19" t="n">
        <v>-2</v>
      </c>
      <c r="AA19" t="n">
        <v>8.16</v>
      </c>
      <c r="AB19" t="n">
        <v>14</v>
      </c>
    </row>
    <row r="20">
      <c r="A20" t="inlineStr">
        <is>
          <t>20260507</t>
        </is>
      </c>
      <c r="B20" t="inlineStr">
        <is>
          <t>CDX</t>
        </is>
      </c>
      <c r="C20" t="n">
        <v>4</v>
      </c>
      <c r="D20" t="inlineStr">
        <is>
          <t>D</t>
        </is>
      </c>
      <c r="E20" t="n">
        <v>8</v>
      </c>
      <c r="F20" t="inlineStr">
        <is>
          <t>R</t>
        </is>
      </c>
      <c r="G20" t="inlineStr">
        <is>
          <t>NORMAL</t>
        </is>
      </c>
      <c r="H20" t="inlineStr">
        <is>
          <t>1</t>
        </is>
      </c>
      <c r="I20" t="inlineStr">
        <is>
          <t>SPEC</t>
        </is>
      </c>
      <c r="J20" t="n">
        <v>5.87</v>
      </c>
      <c r="K20" t="inlineStr">
        <is>
          <t>1</t>
        </is>
      </c>
      <c r="L20" t="inlineStr">
        <is>
          <t>A</t>
        </is>
      </c>
      <c r="M20" t="n">
        <v>9</v>
      </c>
      <c r="N20" t="n">
        <v>7</v>
      </c>
      <c r="O20" t="inlineStr">
        <is>
          <t>Y</t>
        </is>
      </c>
      <c r="P20" t="inlineStr">
        <is>
          <t>AWESOME RUTA</t>
        </is>
      </c>
      <c r="Q20" t="n">
        <v>1</v>
      </c>
      <c r="R20" t="n">
        <v>1</v>
      </c>
      <c r="S20" t="n">
        <v>3.3</v>
      </c>
      <c r="T20" t="n">
        <v>1</v>
      </c>
      <c r="U20" t="n">
        <v>1</v>
      </c>
      <c r="V20" t="n">
        <v>1.4</v>
      </c>
      <c r="W20" t="n">
        <v>1.4</v>
      </c>
      <c r="X20" t="n">
        <v>0.7999999999999998</v>
      </c>
      <c r="Y20" t="n">
        <v>0.7999999999999998</v>
      </c>
      <c r="Z20" t="n">
        <v>4.6</v>
      </c>
      <c r="AA20" t="n">
        <v>4.6</v>
      </c>
      <c r="AB20" t="n">
        <v>9</v>
      </c>
    </row>
    <row r="21">
      <c r="A21" t="inlineStr">
        <is>
          <t>20260507</t>
        </is>
      </c>
      <c r="B21" t="inlineStr">
        <is>
          <t>CDX</t>
        </is>
      </c>
      <c r="C21" t="n">
        <v>5</v>
      </c>
      <c r="D21" t="inlineStr">
        <is>
          <t>D</t>
        </is>
      </c>
      <c r="E21" t="n">
        <v>6</v>
      </c>
      <c r="F21" t="inlineStr">
        <is>
          <t>M</t>
        </is>
      </c>
      <c r="G21" t="inlineStr">
        <is>
          <t>HOT</t>
        </is>
      </c>
      <c r="H21" t="inlineStr">
        <is>
          <t>11</t>
        </is>
      </c>
      <c r="I21" t="inlineStr">
        <is>
          <t>SPEC</t>
        </is>
      </c>
      <c r="J21" t="n">
        <v>4.62</v>
      </c>
      <c r="K21" t="inlineStr">
        <is>
          <t>1</t>
        </is>
      </c>
      <c r="L21" t="inlineStr">
        <is>
          <t>A</t>
        </is>
      </c>
      <c r="M21" t="n">
        <v>11</v>
      </c>
      <c r="N21" t="n">
        <v>6</v>
      </c>
      <c r="O21" t="inlineStr">
        <is>
          <t>N</t>
        </is>
      </c>
      <c r="P21" t="inlineStr">
        <is>
          <t>LLAMP</t>
        </is>
      </c>
      <c r="Q21" t="n">
        <v>2</v>
      </c>
      <c r="R21" t="n">
        <v>1</v>
      </c>
      <c r="S21" t="n">
        <v>3.22</v>
      </c>
      <c r="T21" t="n">
        <v>0</v>
      </c>
      <c r="U21" t="n">
        <v>1</v>
      </c>
      <c r="V21" t="n">
        <v>2.5</v>
      </c>
      <c r="W21" t="n">
        <v>3.5</v>
      </c>
      <c r="X21" t="n">
        <v>-2</v>
      </c>
      <c r="Y21" t="n">
        <v>5</v>
      </c>
      <c r="Z21" t="n">
        <v>-2</v>
      </c>
      <c r="AA21" t="n">
        <v>4.44</v>
      </c>
      <c r="AB21" t="n">
        <v>11</v>
      </c>
    </row>
    <row r="22">
      <c r="A22" t="inlineStr">
        <is>
          <t>20260507</t>
        </is>
      </c>
      <c r="B22" t="inlineStr">
        <is>
          <t>CDX</t>
        </is>
      </c>
      <c r="C22" t="n">
        <v>6</v>
      </c>
      <c r="D22" t="inlineStr">
        <is>
          <t>T</t>
        </is>
      </c>
      <c r="E22" t="n">
        <v>8</v>
      </c>
      <c r="F22" t="inlineStr">
        <is>
          <t>AO</t>
        </is>
      </c>
      <c r="G22" t="inlineStr">
        <is>
          <t>HOT</t>
        </is>
      </c>
      <c r="H22" t="inlineStr">
        <is>
          <t>5</t>
        </is>
      </c>
      <c r="I22" t="inlineStr">
        <is>
          <t>SPEC</t>
        </is>
      </c>
      <c r="J22" t="n">
        <v>6.08</v>
      </c>
      <c r="K22" t="inlineStr">
        <is>
          <t>11</t>
        </is>
      </c>
      <c r="L22" t="inlineStr">
        <is>
          <t>A</t>
        </is>
      </c>
      <c r="M22" t="n">
        <v>9</v>
      </c>
      <c r="N22" t="n">
        <v>5</v>
      </c>
      <c r="O22" t="inlineStr">
        <is>
          <t>N</t>
        </is>
      </c>
      <c r="P22" t="inlineStr">
        <is>
          <t>CLEVER MISCHIEF</t>
        </is>
      </c>
      <c r="Q22" t="n">
        <v>3</v>
      </c>
      <c r="R22" t="n">
        <v>6</v>
      </c>
      <c r="S22" t="n">
        <v>9.66</v>
      </c>
      <c r="T22" t="n">
        <v>0</v>
      </c>
      <c r="U22" t="n">
        <v>0</v>
      </c>
      <c r="V22" t="n">
        <v>2</v>
      </c>
      <c r="W22" t="n">
        <v>10</v>
      </c>
      <c r="X22" t="n">
        <v>-2</v>
      </c>
      <c r="Y22" t="n">
        <v>-2</v>
      </c>
      <c r="Z22" t="n">
        <v>-2</v>
      </c>
      <c r="AA22" t="n">
        <v>-2</v>
      </c>
      <c r="AB22" t="n">
        <v>13</v>
      </c>
    </row>
    <row r="23">
      <c r="A23" t="inlineStr">
        <is>
          <t>20260507</t>
        </is>
      </c>
      <c r="B23" t="inlineStr">
        <is>
          <t>CDX</t>
        </is>
      </c>
      <c r="C23" t="n">
        <v>7</v>
      </c>
      <c r="D23" t="inlineStr">
        <is>
          <t>D</t>
        </is>
      </c>
      <c r="E23" t="n">
        <v>6</v>
      </c>
      <c r="F23" t="inlineStr">
        <is>
          <t>S</t>
        </is>
      </c>
      <c r="G23" t="inlineStr">
        <is>
          <t>HOT</t>
        </is>
      </c>
      <c r="H23" t="inlineStr">
        <is>
          <t>10</t>
        </is>
      </c>
      <c r="I23" t="inlineStr">
        <is>
          <t>SPEC</t>
        </is>
      </c>
      <c r="J23" t="n">
        <v>4.76</v>
      </c>
      <c r="K23" t="inlineStr">
        <is>
          <t>12</t>
        </is>
      </c>
      <c r="L23" t="inlineStr">
        <is>
          <t>A</t>
        </is>
      </c>
      <c r="M23" t="n">
        <v>9</v>
      </c>
      <c r="N23" t="n">
        <v>6</v>
      </c>
      <c r="O23" t="inlineStr">
        <is>
          <t>N</t>
        </is>
      </c>
      <c r="P23" t="inlineStr">
        <is>
          <t>DON'T EVEN</t>
        </is>
      </c>
      <c r="Q23" t="n">
        <v>8</v>
      </c>
      <c r="R23" t="n">
        <v>6</v>
      </c>
      <c r="S23" t="n">
        <v>10.12</v>
      </c>
      <c r="T23" t="n">
        <v>0</v>
      </c>
      <c r="U23" t="n">
        <v>0</v>
      </c>
      <c r="V23" t="n">
        <v>8</v>
      </c>
      <c r="W23" t="n">
        <v>3</v>
      </c>
      <c r="X23" t="n">
        <v>-2</v>
      </c>
      <c r="Y23" t="n">
        <v>-2</v>
      </c>
      <c r="Z23" t="n">
        <v>-2</v>
      </c>
      <c r="AA23" t="n">
        <v>-2</v>
      </c>
      <c r="AB23" t="n">
        <v>12</v>
      </c>
    </row>
    <row r="24">
      <c r="A24" t="inlineStr">
        <is>
          <t>20260507</t>
        </is>
      </c>
      <c r="B24" t="inlineStr">
        <is>
          <t>CDX</t>
        </is>
      </c>
      <c r="C24" t="n">
        <v>8</v>
      </c>
      <c r="D24" t="inlineStr">
        <is>
          <t>T</t>
        </is>
      </c>
      <c r="E24" t="n">
        <v>8.5</v>
      </c>
      <c r="F24" t="inlineStr">
        <is>
          <t>AO</t>
        </is>
      </c>
      <c r="G24" t="inlineStr">
        <is>
          <t>HOT</t>
        </is>
      </c>
      <c r="H24" t="inlineStr">
        <is>
          <t>7</t>
        </is>
      </c>
      <c r="I24" t="inlineStr">
        <is>
          <t>SPEC</t>
        </is>
      </c>
      <c r="J24" t="n">
        <v>5.85</v>
      </c>
      <c r="K24" t="inlineStr">
        <is>
          <t>2</t>
        </is>
      </c>
      <c r="L24" t="inlineStr">
        <is>
          <t>A</t>
        </is>
      </c>
      <c r="M24" t="n">
        <v>9</v>
      </c>
      <c r="N24" t="n">
        <v>5</v>
      </c>
      <c r="O24" t="inlineStr">
        <is>
          <t>N</t>
        </is>
      </c>
      <c r="P24" t="inlineStr">
        <is>
          <t>TURNER'S CHARM</t>
        </is>
      </c>
      <c r="Q24" t="n">
        <v>10</v>
      </c>
      <c r="R24" t="n">
        <v>12</v>
      </c>
      <c r="S24" t="n">
        <v>18.38</v>
      </c>
      <c r="T24" t="n">
        <v>0</v>
      </c>
      <c r="U24" t="n">
        <v>0</v>
      </c>
      <c r="V24" t="n">
        <v>2.5</v>
      </c>
      <c r="W24" t="n">
        <v>6</v>
      </c>
      <c r="X24" t="n">
        <v>-2</v>
      </c>
      <c r="Y24" t="n">
        <v>-2</v>
      </c>
      <c r="Z24" t="n">
        <v>-2</v>
      </c>
      <c r="AA24" t="n">
        <v>-2</v>
      </c>
      <c r="AB24" t="n">
        <v>13</v>
      </c>
    </row>
    <row r="25">
      <c r="A25" t="inlineStr">
        <is>
          <t>20260509</t>
        </is>
      </c>
      <c r="B25" t="inlineStr">
        <is>
          <t>BAQ</t>
        </is>
      </c>
      <c r="C25" t="n">
        <v>1</v>
      </c>
      <c r="D25" t="inlineStr">
        <is>
          <t>D</t>
        </is>
      </c>
      <c r="E25" t="n">
        <v>6</v>
      </c>
      <c r="F25" t="inlineStr">
        <is>
          <t>S</t>
        </is>
      </c>
      <c r="G25" t="inlineStr">
        <is>
          <t>HOT</t>
        </is>
      </c>
      <c r="H25" t="inlineStr">
        <is>
          <t>6</t>
        </is>
      </c>
      <c r="I25" t="inlineStr">
        <is>
          <t>SPEC</t>
        </is>
      </c>
      <c r="J25" t="n">
        <v>5.08</v>
      </c>
      <c r="K25" t="inlineStr">
        <is>
          <t>4</t>
        </is>
      </c>
      <c r="L25" t="inlineStr">
        <is>
          <t>A</t>
        </is>
      </c>
      <c r="M25" t="n">
        <v>11</v>
      </c>
      <c r="N25" t="n">
        <v>6</v>
      </c>
      <c r="O25" t="inlineStr">
        <is>
          <t>N</t>
        </is>
      </c>
      <c r="P25" t="inlineStr">
        <is>
          <t>KARLEY B</t>
        </is>
      </c>
      <c r="Q25" t="n">
        <v>3</v>
      </c>
      <c r="R25" t="n">
        <v>1</v>
      </c>
      <c r="S25" t="n">
        <v>3.5</v>
      </c>
      <c r="T25" t="n">
        <v>0</v>
      </c>
      <c r="U25" t="n">
        <v>1</v>
      </c>
      <c r="V25" t="n">
        <v>2</v>
      </c>
      <c r="W25" t="n">
        <v>1.8</v>
      </c>
      <c r="X25" t="n">
        <v>-2</v>
      </c>
      <c r="Y25" t="n">
        <v>1.6</v>
      </c>
      <c r="Z25" t="n">
        <v>-2</v>
      </c>
      <c r="AA25" t="n">
        <v>5</v>
      </c>
      <c r="AB25" t="n">
        <v>7</v>
      </c>
    </row>
    <row r="26">
      <c r="A26" t="inlineStr">
        <is>
          <t>20260509</t>
        </is>
      </c>
      <c r="B26" t="inlineStr">
        <is>
          <t>BAQ</t>
        </is>
      </c>
      <c r="C26" t="n">
        <v>2</v>
      </c>
      <c r="D26" t="inlineStr">
        <is>
          <t>T</t>
        </is>
      </c>
      <c r="E26" t="n">
        <v>8.5</v>
      </c>
      <c r="F26" t="inlineStr">
        <is>
          <t>AO</t>
        </is>
      </c>
      <c r="G26" t="inlineStr">
        <is>
          <t>NORMAL</t>
        </is>
      </c>
      <c r="H26" t="inlineStr">
        <is>
          <t>4</t>
        </is>
      </c>
      <c r="I26" t="inlineStr">
        <is>
          <t>SPEC</t>
        </is>
      </c>
      <c r="J26" t="n">
        <v>4.89</v>
      </c>
      <c r="K26" t="inlineStr">
        <is>
          <t>1</t>
        </is>
      </c>
      <c r="L26" t="inlineStr">
        <is>
          <t>A</t>
        </is>
      </c>
      <c r="M26" t="n">
        <v>8</v>
      </c>
      <c r="N26" t="n">
        <v>6</v>
      </c>
      <c r="O26" t="inlineStr">
        <is>
          <t>N</t>
        </is>
      </c>
      <c r="P26" t="inlineStr">
        <is>
          <t>ARIZONA TERRITORY</t>
        </is>
      </c>
      <c r="Q26" t="n">
        <v>2</v>
      </c>
      <c r="R26" t="n">
        <v>3</v>
      </c>
      <c r="S26" t="n">
        <v>2.94</v>
      </c>
      <c r="T26" t="n">
        <v>0</v>
      </c>
      <c r="U26" t="n">
        <v>0</v>
      </c>
      <c r="V26" t="n">
        <v>8</v>
      </c>
      <c r="W26" t="n">
        <v>3</v>
      </c>
      <c r="X26" t="n">
        <v>-2</v>
      </c>
      <c r="Y26" t="n">
        <v>-2</v>
      </c>
      <c r="Z26" t="n">
        <v>-2</v>
      </c>
      <c r="AA26" t="n">
        <v>-2</v>
      </c>
      <c r="AB26" t="n">
        <v>6</v>
      </c>
    </row>
    <row r="27">
      <c r="A27" t="inlineStr">
        <is>
          <t>20260509</t>
        </is>
      </c>
      <c r="B27" t="inlineStr">
        <is>
          <t>BAQ</t>
        </is>
      </c>
      <c r="C27" t="n">
        <v>3</v>
      </c>
      <c r="D27" t="inlineStr">
        <is>
          <t>D</t>
        </is>
      </c>
      <c r="E27" t="n">
        <v>6</v>
      </c>
      <c r="F27" t="inlineStr">
        <is>
          <t>C</t>
        </is>
      </c>
      <c r="G27" t="inlineStr">
        <is>
          <t>HOT</t>
        </is>
      </c>
      <c r="H27" t="inlineStr">
        <is>
          <t>4</t>
        </is>
      </c>
      <c r="I27" t="inlineStr">
        <is>
          <t>SPEC</t>
        </is>
      </c>
      <c r="J27" t="n">
        <v>4.49</v>
      </c>
      <c r="K27" t="inlineStr">
        <is>
          <t>2</t>
        </is>
      </c>
      <c r="L27" t="inlineStr">
        <is>
          <t>A</t>
        </is>
      </c>
      <c r="M27" t="n">
        <v>9</v>
      </c>
      <c r="N27" t="n">
        <v>5</v>
      </c>
      <c r="O27" t="inlineStr">
        <is>
          <t>N</t>
        </is>
      </c>
      <c r="P27" t="inlineStr">
        <is>
          <t>SUPERPOWER</t>
        </is>
      </c>
      <c r="Q27" t="n">
        <v>7</v>
      </c>
      <c r="R27" t="n">
        <v>5</v>
      </c>
      <c r="S27" t="n">
        <v>13.48</v>
      </c>
      <c r="T27" t="n">
        <v>0</v>
      </c>
      <c r="U27" t="n">
        <v>0</v>
      </c>
      <c r="V27" t="n">
        <v>2.5</v>
      </c>
      <c r="W27" t="n">
        <v>6</v>
      </c>
      <c r="X27" t="n">
        <v>-2</v>
      </c>
      <c r="Y27" t="n">
        <v>-2</v>
      </c>
      <c r="Z27" t="n">
        <v>-2</v>
      </c>
      <c r="AA27" t="n">
        <v>-2</v>
      </c>
      <c r="AB27" t="n">
        <v>8</v>
      </c>
    </row>
    <row r="28">
      <c r="A28" t="inlineStr">
        <is>
          <t>20260509</t>
        </is>
      </c>
      <c r="B28" t="inlineStr">
        <is>
          <t>BAQ</t>
        </is>
      </c>
      <c r="C28" t="n">
        <v>4</v>
      </c>
      <c r="D28" t="inlineStr">
        <is>
          <t>t</t>
        </is>
      </c>
      <c r="E28" t="n">
        <v>8.5</v>
      </c>
      <c r="F28" t="inlineStr">
        <is>
          <t>A</t>
        </is>
      </c>
      <c r="G28" t="inlineStr">
        <is>
          <t>HOT</t>
        </is>
      </c>
      <c r="H28" t="inlineStr">
        <is>
          <t>3</t>
        </is>
      </c>
      <c r="I28" t="inlineStr">
        <is>
          <t>SPEC</t>
        </is>
      </c>
      <c r="J28" t="n">
        <v>5.42</v>
      </c>
      <c r="K28" t="inlineStr">
        <is>
          <t>6</t>
        </is>
      </c>
      <c r="L28" t="inlineStr">
        <is>
          <t>A</t>
        </is>
      </c>
      <c r="M28" t="n">
        <v>7</v>
      </c>
      <c r="N28" t="n">
        <v>5</v>
      </c>
      <c r="O28" t="inlineStr">
        <is>
          <t>N</t>
        </is>
      </c>
      <c r="P28" t="inlineStr">
        <is>
          <t>DIVIDEND RECAP</t>
        </is>
      </c>
      <c r="Q28" t="n">
        <v>1</v>
      </c>
      <c r="R28" t="n">
        <v>2</v>
      </c>
      <c r="S28" t="n">
        <v>6.02</v>
      </c>
      <c r="T28" t="n">
        <v>1</v>
      </c>
      <c r="U28" t="n">
        <v>0</v>
      </c>
      <c r="V28" t="n">
        <v>1.6</v>
      </c>
      <c r="W28" t="n">
        <v>2.5</v>
      </c>
      <c r="X28" t="n">
        <v>1.2</v>
      </c>
      <c r="Y28" t="n">
        <v>-2</v>
      </c>
      <c r="Z28" t="n">
        <v>10.04</v>
      </c>
      <c r="AA28" t="n">
        <v>-2</v>
      </c>
      <c r="AB28" t="n">
        <v>10</v>
      </c>
    </row>
    <row r="29">
      <c r="A29" t="inlineStr">
        <is>
          <t>20260509</t>
        </is>
      </c>
      <c r="B29" t="inlineStr">
        <is>
          <t>BAQ</t>
        </is>
      </c>
      <c r="C29" t="n">
        <v>5</v>
      </c>
      <c r="D29" t="inlineStr">
        <is>
          <t>D</t>
        </is>
      </c>
      <c r="E29" t="n">
        <v>6</v>
      </c>
      <c r="F29" t="inlineStr">
        <is>
          <t>AO</t>
        </is>
      </c>
      <c r="G29" t="inlineStr">
        <is>
          <t>HOT</t>
        </is>
      </c>
      <c r="H29" t="inlineStr">
        <is>
          <t>1</t>
        </is>
      </c>
      <c r="I29" t="inlineStr">
        <is>
          <t>SPEC</t>
        </is>
      </c>
      <c r="J29" t="n">
        <v>5.19</v>
      </c>
      <c r="K29" t="inlineStr">
        <is>
          <t>2</t>
        </is>
      </c>
      <c r="L29" t="inlineStr">
        <is>
          <t>A</t>
        </is>
      </c>
      <c r="M29" t="n">
        <v>7</v>
      </c>
      <c r="N29" t="n">
        <v>7</v>
      </c>
      <c r="O29" t="inlineStr">
        <is>
          <t>N</t>
        </is>
      </c>
      <c r="P29" t="inlineStr">
        <is>
          <t>ROMAN GRACE</t>
        </is>
      </c>
      <c r="Q29" t="n">
        <v>5</v>
      </c>
      <c r="R29" t="n">
        <v>5</v>
      </c>
      <c r="S29" t="n">
        <v>13.74</v>
      </c>
      <c r="T29" t="n">
        <v>0</v>
      </c>
      <c r="U29" t="n">
        <v>0</v>
      </c>
      <c r="V29" t="n">
        <v>4.5</v>
      </c>
      <c r="W29" t="n">
        <v>2.5</v>
      </c>
      <c r="X29" t="n">
        <v>-2</v>
      </c>
      <c r="Y29" t="n">
        <v>-2</v>
      </c>
      <c r="Z29" t="n">
        <v>-2</v>
      </c>
      <c r="AA29" t="n">
        <v>-2</v>
      </c>
      <c r="AB29" t="n">
        <v>8</v>
      </c>
    </row>
    <row r="30">
      <c r="A30" t="inlineStr">
        <is>
          <t>20260509</t>
        </is>
      </c>
      <c r="B30" t="inlineStr">
        <is>
          <t>BAQ</t>
        </is>
      </c>
      <c r="C30" t="n">
        <v>6</v>
      </c>
      <c r="D30" t="inlineStr">
        <is>
          <t>D</t>
        </is>
      </c>
      <c r="E30" t="n">
        <v>6</v>
      </c>
      <c r="F30" t="inlineStr">
        <is>
          <t>G3</t>
        </is>
      </c>
      <c r="G30" t="inlineStr">
        <is>
          <t>HOT</t>
        </is>
      </c>
      <c r="H30" t="inlineStr">
        <is>
          <t>5</t>
        </is>
      </c>
      <c r="I30" t="inlineStr">
        <is>
          <t>SPEC</t>
        </is>
      </c>
      <c r="J30" t="n">
        <v>6.04</v>
      </c>
      <c r="K30" t="inlineStr">
        <is>
          <t>2</t>
        </is>
      </c>
      <c r="L30" t="inlineStr">
        <is>
          <t>A</t>
        </is>
      </c>
      <c r="M30" t="n">
        <v>10</v>
      </c>
      <c r="N30" t="n">
        <v>6</v>
      </c>
      <c r="O30" t="inlineStr">
        <is>
          <t>N</t>
        </is>
      </c>
      <c r="P30" t="inlineStr">
        <is>
          <t>DURANTE</t>
        </is>
      </c>
      <c r="Q30" t="n">
        <v>5</v>
      </c>
      <c r="R30" t="n">
        <v>5</v>
      </c>
      <c r="S30" t="n">
        <v>16.5</v>
      </c>
      <c r="T30" t="n">
        <v>0</v>
      </c>
      <c r="U30" t="n">
        <v>0</v>
      </c>
      <c r="V30" t="n">
        <v>1.4</v>
      </c>
      <c r="W30" t="n">
        <v>3</v>
      </c>
      <c r="X30" t="n">
        <v>-2</v>
      </c>
      <c r="Y30" t="n">
        <v>-2</v>
      </c>
      <c r="Z30" t="n">
        <v>-2</v>
      </c>
      <c r="AA30" t="n">
        <v>-2</v>
      </c>
      <c r="AB30" t="n">
        <v>6</v>
      </c>
    </row>
    <row r="31">
      <c r="A31" t="inlineStr">
        <is>
          <t>20260509</t>
        </is>
      </c>
      <c r="B31" t="inlineStr">
        <is>
          <t>BAQ</t>
        </is>
      </c>
      <c r="C31" t="n">
        <v>7</v>
      </c>
      <c r="D31" t="inlineStr">
        <is>
          <t>D</t>
        </is>
      </c>
      <c r="E31" t="n">
        <v>8</v>
      </c>
      <c r="F31" t="inlineStr">
        <is>
          <t>G2</t>
        </is>
      </c>
      <c r="G31" t="inlineStr">
        <is>
          <t>NORMAL</t>
        </is>
      </c>
      <c r="H31" t="inlineStr">
        <is>
          <t>3</t>
        </is>
      </c>
      <c r="I31" t="inlineStr">
        <is>
          <t>SPEC</t>
        </is>
      </c>
      <c r="J31" t="n">
        <v>5.93</v>
      </c>
      <c r="K31" t="inlineStr">
        <is>
          <t>6</t>
        </is>
      </c>
      <c r="L31" t="inlineStr">
        <is>
          <t>A</t>
        </is>
      </c>
      <c r="M31" t="n">
        <v>6</v>
      </c>
      <c r="N31" t="n">
        <v>3</v>
      </c>
      <c r="O31" t="inlineStr">
        <is>
          <t>N</t>
        </is>
      </c>
      <c r="P31" t="inlineStr">
        <is>
          <t>IRISH MAXIMA</t>
        </is>
      </c>
      <c r="Q31" t="n">
        <v>2</v>
      </c>
      <c r="R31" t="n">
        <v>1</v>
      </c>
      <c r="S31" t="n">
        <v>14.44</v>
      </c>
      <c r="T31" t="n">
        <v>0</v>
      </c>
      <c r="U31" t="n">
        <v>1</v>
      </c>
      <c r="V31" t="n">
        <v>1.2</v>
      </c>
      <c r="W31" t="n">
        <v>5</v>
      </c>
      <c r="X31" t="n">
        <v>-2</v>
      </c>
      <c r="Y31" t="n">
        <v>8</v>
      </c>
      <c r="Z31" t="n">
        <v>-2</v>
      </c>
      <c r="AA31" t="n">
        <v>26.88</v>
      </c>
      <c r="AB31" t="n">
        <v>7</v>
      </c>
    </row>
    <row r="32">
      <c r="A32" t="inlineStr">
        <is>
          <t>20260509</t>
        </is>
      </c>
      <c r="B32" t="inlineStr">
        <is>
          <t>BAQ</t>
        </is>
      </c>
      <c r="C32" t="n">
        <v>8</v>
      </c>
      <c r="D32" t="inlineStr">
        <is>
          <t>t</t>
        </is>
      </c>
      <c r="E32" t="n">
        <v>6</v>
      </c>
      <c r="F32" t="inlineStr">
        <is>
          <t>N</t>
        </is>
      </c>
      <c r="G32" t="inlineStr">
        <is>
          <t>HOT</t>
        </is>
      </c>
      <c r="H32" t="inlineStr">
        <is>
          <t>6</t>
        </is>
      </c>
      <c r="I32" t="inlineStr">
        <is>
          <t>SPEC</t>
        </is>
      </c>
      <c r="J32" t="n">
        <v>5.88</v>
      </c>
      <c r="K32" t="inlineStr">
        <is>
          <t>6</t>
        </is>
      </c>
      <c r="L32" t="inlineStr">
        <is>
          <t>A</t>
        </is>
      </c>
      <c r="M32" t="n">
        <v>7</v>
      </c>
      <c r="N32" t="n">
        <v>5</v>
      </c>
      <c r="O32" t="inlineStr">
        <is>
          <t>Y</t>
        </is>
      </c>
      <c r="P32" t="inlineStr">
        <is>
          <t>CADENZA</t>
        </is>
      </c>
      <c r="Q32" t="n">
        <v>1</v>
      </c>
      <c r="R32" t="n">
        <v>1</v>
      </c>
      <c r="S32" t="n">
        <v>5.1</v>
      </c>
      <c r="T32" t="n">
        <v>1</v>
      </c>
      <c r="U32" t="n">
        <v>1</v>
      </c>
      <c r="V32" t="n">
        <v>2</v>
      </c>
      <c r="W32" t="n">
        <v>2</v>
      </c>
      <c r="X32" t="n">
        <v>2</v>
      </c>
      <c r="Y32" t="n">
        <v>2</v>
      </c>
      <c r="Z32" t="n">
        <v>8.199999999999999</v>
      </c>
      <c r="AA32" t="n">
        <v>8.199999999999999</v>
      </c>
      <c r="AB32" t="n">
        <v>8</v>
      </c>
    </row>
    <row r="33">
      <c r="A33" t="inlineStr">
        <is>
          <t>20260509</t>
        </is>
      </c>
      <c r="B33" t="inlineStr">
        <is>
          <t>BAQ</t>
        </is>
      </c>
      <c r="C33" t="n">
        <v>9</v>
      </c>
      <c r="D33" t="inlineStr">
        <is>
          <t>D</t>
        </is>
      </c>
      <c r="E33" t="n">
        <v>9</v>
      </c>
      <c r="F33" t="inlineStr">
        <is>
          <t>G3</t>
        </is>
      </c>
      <c r="G33" t="inlineStr">
        <is>
          <t>NORMAL</t>
        </is>
      </c>
      <c r="H33" t="inlineStr">
        <is>
          <t>3</t>
        </is>
      </c>
      <c r="I33" t="inlineStr">
        <is>
          <t>SPEC</t>
        </is>
      </c>
      <c r="J33" t="n">
        <v>5.82</v>
      </c>
      <c r="K33" t="inlineStr">
        <is>
          <t>5</t>
        </is>
      </c>
      <c r="L33" t="inlineStr">
        <is>
          <t>A</t>
        </is>
      </c>
      <c r="M33" t="n">
        <v>9</v>
      </c>
      <c r="N33" t="n">
        <v>6</v>
      </c>
      <c r="O33" t="inlineStr">
        <is>
          <t>N</t>
        </is>
      </c>
      <c r="P33" t="inlineStr">
        <is>
          <t>GROWTH EQUITY</t>
        </is>
      </c>
      <c r="Q33" t="n">
        <v>1</v>
      </c>
      <c r="R33" t="n">
        <v>3</v>
      </c>
      <c r="S33" t="n">
        <v>4.04</v>
      </c>
      <c r="T33" t="n">
        <v>1</v>
      </c>
      <c r="U33" t="n">
        <v>0</v>
      </c>
      <c r="V33" t="n">
        <v>1.2</v>
      </c>
      <c r="W33" t="n">
        <v>1.8</v>
      </c>
      <c r="X33" t="n">
        <v>0.3999999999999999</v>
      </c>
      <c r="Y33" t="n">
        <v>-2</v>
      </c>
      <c r="Z33" t="n">
        <v>6.08</v>
      </c>
      <c r="AA33" t="n">
        <v>-2</v>
      </c>
      <c r="AB33" t="n">
        <v>6</v>
      </c>
    </row>
    <row r="34">
      <c r="A34" t="inlineStr">
        <is>
          <t>20260509</t>
        </is>
      </c>
      <c r="B34" t="inlineStr">
        <is>
          <t>BAQ</t>
        </is>
      </c>
      <c r="C34" t="n">
        <v>10</v>
      </c>
      <c r="D34" t="inlineStr">
        <is>
          <t>T</t>
        </is>
      </c>
      <c r="E34" t="n">
        <v>8.5</v>
      </c>
      <c r="F34" t="inlineStr">
        <is>
          <t>A</t>
        </is>
      </c>
      <c r="G34" t="inlineStr">
        <is>
          <t>NORMAL</t>
        </is>
      </c>
      <c r="H34" t="inlineStr">
        <is>
          <t>1</t>
        </is>
      </c>
      <c r="I34" t="inlineStr">
        <is>
          <t>SPEC</t>
        </is>
      </c>
      <c r="J34" t="n">
        <v>5.83</v>
      </c>
      <c r="K34" t="inlineStr">
        <is>
          <t>5</t>
        </is>
      </c>
      <c r="L34" t="inlineStr">
        <is>
          <t>A</t>
        </is>
      </c>
      <c r="M34" t="n">
        <v>6</v>
      </c>
      <c r="N34" t="n">
        <v>5</v>
      </c>
      <c r="O34" t="inlineStr">
        <is>
          <t>N</t>
        </is>
      </c>
      <c r="P34" t="inlineStr">
        <is>
          <t>ARKHIPOV</t>
        </is>
      </c>
      <c r="Q34" t="n">
        <v>5</v>
      </c>
      <c r="R34" t="n">
        <v>4</v>
      </c>
      <c r="S34" t="n">
        <v>7.24</v>
      </c>
      <c r="T34" t="n">
        <v>0</v>
      </c>
      <c r="U34" t="n">
        <v>0</v>
      </c>
      <c r="V34" t="n">
        <v>2.5</v>
      </c>
      <c r="W34" t="n">
        <v>6</v>
      </c>
      <c r="X34" t="n">
        <v>-2</v>
      </c>
      <c r="Y34" t="n">
        <v>-2</v>
      </c>
      <c r="Z34" t="n">
        <v>-2</v>
      </c>
      <c r="AA34" t="n">
        <v>-2</v>
      </c>
      <c r="AB34" t="n">
        <v>9</v>
      </c>
    </row>
    <row r="35">
      <c r="A35" t="inlineStr">
        <is>
          <t>20260510</t>
        </is>
      </c>
      <c r="B35" t="inlineStr">
        <is>
          <t>BAQ</t>
        </is>
      </c>
      <c r="C35" t="n">
        <v>1</v>
      </c>
      <c r="D35" t="inlineStr">
        <is>
          <t>D</t>
        </is>
      </c>
      <c r="E35" t="n">
        <v>6</v>
      </c>
      <c r="F35" t="inlineStr">
        <is>
          <t>S</t>
        </is>
      </c>
      <c r="G35" t="inlineStr">
        <is>
          <t>SLOW</t>
        </is>
      </c>
      <c r="H35" t="inlineStr">
        <is>
          <t>4</t>
        </is>
      </c>
      <c r="I35" t="inlineStr">
        <is>
          <t>SPEC</t>
        </is>
      </c>
      <c r="J35" t="n">
        <v>3.63</v>
      </c>
      <c r="K35" t="inlineStr">
        <is>
          <t>6</t>
        </is>
      </c>
      <c r="L35" t="inlineStr">
        <is>
          <t>A</t>
        </is>
      </c>
      <c r="M35" t="n">
        <v>10</v>
      </c>
      <c r="N35" t="n">
        <v>5</v>
      </c>
      <c r="O35" t="inlineStr">
        <is>
          <t>N</t>
        </is>
      </c>
      <c r="P35" t="inlineStr">
        <is>
          <t>BLUE ROOF BEAU</t>
        </is>
      </c>
      <c r="Q35" t="n">
        <v>3</v>
      </c>
      <c r="R35" t="n">
        <v>3</v>
      </c>
      <c r="S35" t="n">
        <v>7.28</v>
      </c>
      <c r="T35" t="n">
        <v>0</v>
      </c>
      <c r="U35" t="n">
        <v>0</v>
      </c>
      <c r="V35" t="n">
        <v>2.5</v>
      </c>
      <c r="W35" t="n">
        <v>4</v>
      </c>
      <c r="X35" t="n">
        <v>-2</v>
      </c>
      <c r="Y35" t="n">
        <v>-2</v>
      </c>
      <c r="Z35" t="n">
        <v>-2</v>
      </c>
      <c r="AA35" t="n">
        <v>-2</v>
      </c>
      <c r="AB35" t="n">
        <v>7</v>
      </c>
    </row>
    <row r="36">
      <c r="A36" t="inlineStr">
        <is>
          <t>20260510</t>
        </is>
      </c>
      <c r="B36" t="inlineStr">
        <is>
          <t>BAQ</t>
        </is>
      </c>
      <c r="C36" t="n">
        <v>2</v>
      </c>
      <c r="D36" t="inlineStr">
        <is>
          <t>D</t>
        </is>
      </c>
      <c r="E36" t="n">
        <v>7</v>
      </c>
      <c r="F36" t="inlineStr">
        <is>
          <t>C</t>
        </is>
      </c>
      <c r="G36" t="inlineStr">
        <is>
          <t>NORMAL</t>
        </is>
      </c>
      <c r="H36" t="inlineStr">
        <is>
          <t>6</t>
        </is>
      </c>
      <c r="I36" t="inlineStr">
        <is>
          <t>SPEC</t>
        </is>
      </c>
      <c r="J36" t="n">
        <v>5.01</v>
      </c>
      <c r="K36" t="inlineStr">
        <is>
          <t>1</t>
        </is>
      </c>
      <c r="L36" t="inlineStr">
        <is>
          <t>A</t>
        </is>
      </c>
      <c r="M36" t="n">
        <v>9</v>
      </c>
      <c r="N36" t="n">
        <v>5</v>
      </c>
      <c r="O36" t="inlineStr">
        <is>
          <t>N</t>
        </is>
      </c>
      <c r="P36" t="inlineStr">
        <is>
          <t>REMI'S MOON</t>
        </is>
      </c>
      <c r="Q36" t="n">
        <v>1</v>
      </c>
      <c r="R36" t="n">
        <v>2</v>
      </c>
      <c r="S36" t="n">
        <v>5.16</v>
      </c>
      <c r="T36" t="n">
        <v>1</v>
      </c>
      <c r="U36" t="n">
        <v>0</v>
      </c>
      <c r="V36" t="n">
        <v>2</v>
      </c>
      <c r="W36" t="n">
        <v>4.5</v>
      </c>
      <c r="X36" t="n">
        <v>2</v>
      </c>
      <c r="Y36" t="n">
        <v>-2</v>
      </c>
      <c r="Z36" t="n">
        <v>8.32</v>
      </c>
      <c r="AA36" t="n">
        <v>-2</v>
      </c>
      <c r="AB36" t="n">
        <v>6</v>
      </c>
    </row>
    <row r="37">
      <c r="A37" t="inlineStr">
        <is>
          <t>20260510</t>
        </is>
      </c>
      <c r="B37" t="inlineStr">
        <is>
          <t>BAQ</t>
        </is>
      </c>
      <c r="C37" t="n">
        <v>3</v>
      </c>
      <c r="D37" t="inlineStr">
        <is>
          <t>D</t>
        </is>
      </c>
      <c r="E37" t="n">
        <v>8</v>
      </c>
      <c r="F37" t="inlineStr">
        <is>
          <t>S</t>
        </is>
      </c>
      <c r="G37" t="inlineStr">
        <is>
          <t>NORMAL</t>
        </is>
      </c>
      <c r="H37" t="inlineStr">
        <is>
          <t>6</t>
        </is>
      </c>
      <c r="I37" t="inlineStr">
        <is>
          <t>SPEC</t>
        </is>
      </c>
      <c r="J37" t="n">
        <v>5.11</v>
      </c>
      <c r="K37" t="inlineStr">
        <is>
          <t>6</t>
        </is>
      </c>
      <c r="L37" t="inlineStr">
        <is>
          <t>A</t>
        </is>
      </c>
      <c r="M37" t="n">
        <v>8</v>
      </c>
      <c r="N37" t="n">
        <v>6</v>
      </c>
      <c r="O37" t="inlineStr">
        <is>
          <t>Y</t>
        </is>
      </c>
      <c r="P37" t="inlineStr">
        <is>
          <t>TRICKY BUSINESS</t>
        </is>
      </c>
      <c r="Q37" t="n">
        <v>6</v>
      </c>
      <c r="R37" t="n">
        <v>7</v>
      </c>
      <c r="S37" t="n">
        <v>8.140000000000001</v>
      </c>
      <c r="T37" t="n">
        <v>0</v>
      </c>
      <c r="U37" t="n">
        <v>0</v>
      </c>
      <c r="V37" t="n">
        <v>2.5</v>
      </c>
      <c r="W37" t="n">
        <v>2.5</v>
      </c>
      <c r="X37" t="n">
        <v>-2</v>
      </c>
      <c r="Y37" t="n">
        <v>-2</v>
      </c>
      <c r="Z37" t="n">
        <v>-2</v>
      </c>
      <c r="AA37" t="n">
        <v>-2</v>
      </c>
      <c r="AB37" t="n">
        <v>7</v>
      </c>
    </row>
    <row r="38">
      <c r="A38" t="inlineStr">
        <is>
          <t>20260510</t>
        </is>
      </c>
      <c r="B38" t="inlineStr">
        <is>
          <t>BAQ</t>
        </is>
      </c>
      <c r="C38" t="n">
        <v>4</v>
      </c>
      <c r="D38" t="inlineStr">
        <is>
          <t>T</t>
        </is>
      </c>
      <c r="E38" t="n">
        <v>8</v>
      </c>
      <c r="F38" t="inlineStr">
        <is>
          <t>S</t>
        </is>
      </c>
      <c r="G38" t="inlineStr">
        <is>
          <t>HOT</t>
        </is>
      </c>
      <c r="H38" t="inlineStr">
        <is>
          <t>1</t>
        </is>
      </c>
      <c r="I38" t="inlineStr">
        <is>
          <t>SPEC</t>
        </is>
      </c>
      <c r="J38" t="n">
        <v>5.81</v>
      </c>
      <c r="K38" t="inlineStr">
        <is>
          <t>1</t>
        </is>
      </c>
      <c r="L38" t="inlineStr">
        <is>
          <t>A</t>
        </is>
      </c>
      <c r="M38" t="n">
        <v>8</v>
      </c>
      <c r="N38" t="n">
        <v>7</v>
      </c>
      <c r="O38" t="inlineStr">
        <is>
          <t>Y</t>
        </is>
      </c>
      <c r="P38" t="inlineStr">
        <is>
          <t>RIGHT TIMING</t>
        </is>
      </c>
      <c r="Q38" t="n">
        <v>3</v>
      </c>
      <c r="R38" t="n">
        <v>2</v>
      </c>
      <c r="S38" t="n">
        <v>3.86</v>
      </c>
      <c r="T38" t="n">
        <v>0</v>
      </c>
      <c r="U38" t="n">
        <v>0</v>
      </c>
      <c r="V38" t="n">
        <v>3</v>
      </c>
      <c r="W38" t="n">
        <v>3</v>
      </c>
      <c r="X38" t="n">
        <v>-2</v>
      </c>
      <c r="Y38" t="n">
        <v>-2</v>
      </c>
      <c r="Z38" t="n">
        <v>-2</v>
      </c>
      <c r="AA38" t="n">
        <v>-2</v>
      </c>
      <c r="AB38" t="n">
        <v>9</v>
      </c>
    </row>
    <row r="39">
      <c r="A39" t="inlineStr">
        <is>
          <t>20260510</t>
        </is>
      </c>
      <c r="B39" t="inlineStr">
        <is>
          <t>BAQ</t>
        </is>
      </c>
      <c r="C39" t="n">
        <v>5</v>
      </c>
      <c r="D39" t="inlineStr">
        <is>
          <t>D</t>
        </is>
      </c>
      <c r="E39" t="n">
        <v>8</v>
      </c>
      <c r="F39" t="inlineStr">
        <is>
          <t>AO</t>
        </is>
      </c>
      <c r="G39" t="inlineStr">
        <is>
          <t>NORMAL</t>
        </is>
      </c>
      <c r="H39" t="inlineStr">
        <is>
          <t>6</t>
        </is>
      </c>
      <c r="I39" t="inlineStr">
        <is>
          <t>SPEC</t>
        </is>
      </c>
      <c r="J39" t="n">
        <v>5.62</v>
      </c>
      <c r="K39" t="inlineStr">
        <is>
          <t>1</t>
        </is>
      </c>
      <c r="L39" t="inlineStr">
        <is>
          <t>A</t>
        </is>
      </c>
      <c r="M39" t="n">
        <v>10</v>
      </c>
      <c r="N39" t="n">
        <v>6</v>
      </c>
      <c r="O39" t="inlineStr">
        <is>
          <t>N</t>
        </is>
      </c>
      <c r="P39" t="inlineStr">
        <is>
          <t>POINT OF REFERENCE</t>
        </is>
      </c>
      <c r="Q39" t="n">
        <v>2</v>
      </c>
      <c r="R39" t="n">
        <v>6</v>
      </c>
      <c r="S39" t="n">
        <v>7.26</v>
      </c>
      <c r="T39" t="n">
        <v>0</v>
      </c>
      <c r="U39" t="n">
        <v>0</v>
      </c>
      <c r="V39" t="n">
        <v>4.5</v>
      </c>
      <c r="W39" t="n">
        <v>2.5</v>
      </c>
      <c r="X39" t="n">
        <v>-2</v>
      </c>
      <c r="Y39" t="n">
        <v>-2</v>
      </c>
      <c r="Z39" t="n">
        <v>-2</v>
      </c>
      <c r="AA39" t="n">
        <v>-2</v>
      </c>
      <c r="AB39" t="n">
        <v>6</v>
      </c>
    </row>
    <row r="40">
      <c r="A40" t="inlineStr">
        <is>
          <t>20260510</t>
        </is>
      </c>
      <c r="B40" t="inlineStr">
        <is>
          <t>BAQ</t>
        </is>
      </c>
      <c r="C40" t="n">
        <v>6</v>
      </c>
      <c r="D40" t="inlineStr">
        <is>
          <t>t</t>
        </is>
      </c>
      <c r="E40" t="n">
        <v>8.5</v>
      </c>
      <c r="F40" t="inlineStr">
        <is>
          <t>S</t>
        </is>
      </c>
      <c r="G40" t="inlineStr">
        <is>
          <t>NORMAL</t>
        </is>
      </c>
      <c r="H40" t="inlineStr">
        <is>
          <t>3</t>
        </is>
      </c>
      <c r="I40" t="inlineStr">
        <is>
          <t>SPEC</t>
        </is>
      </c>
      <c r="J40" t="n">
        <v>5.65</v>
      </c>
      <c r="K40" t="inlineStr">
        <is>
          <t>2</t>
        </is>
      </c>
      <c r="L40" t="inlineStr">
        <is>
          <t>A</t>
        </is>
      </c>
      <c r="M40" t="n">
        <v>8</v>
      </c>
      <c r="N40" t="n">
        <v>4</v>
      </c>
      <c r="O40" t="inlineStr">
        <is>
          <t>N</t>
        </is>
      </c>
      <c r="P40" t="inlineStr">
        <is>
          <t>GLAVINE</t>
        </is>
      </c>
      <c r="Q40" t="n">
        <v>7</v>
      </c>
      <c r="R40" t="n">
        <v>8</v>
      </c>
      <c r="S40" t="n">
        <v>10.34</v>
      </c>
      <c r="T40" t="n">
        <v>0</v>
      </c>
      <c r="U40" t="n">
        <v>0</v>
      </c>
      <c r="V40" t="n">
        <v>3</v>
      </c>
      <c r="W40" t="n">
        <v>1.6</v>
      </c>
      <c r="X40" t="n">
        <v>-2</v>
      </c>
      <c r="Y40" t="n">
        <v>-2</v>
      </c>
      <c r="Z40" t="n">
        <v>-2</v>
      </c>
      <c r="AA40" t="n">
        <v>-2</v>
      </c>
      <c r="AB40" t="n">
        <v>13</v>
      </c>
    </row>
    <row r="41">
      <c r="A41" t="inlineStr">
        <is>
          <t>20260510</t>
        </is>
      </c>
      <c r="B41" t="inlineStr">
        <is>
          <t>BAQ</t>
        </is>
      </c>
      <c r="C41" t="n">
        <v>7</v>
      </c>
      <c r="D41" t="inlineStr">
        <is>
          <t>D</t>
        </is>
      </c>
      <c r="E41" t="n">
        <v>8</v>
      </c>
      <c r="F41" t="inlineStr">
        <is>
          <t>A</t>
        </is>
      </c>
      <c r="G41" t="inlineStr">
        <is>
          <t>NORMAL</t>
        </is>
      </c>
      <c r="H41" t="inlineStr">
        <is>
          <t>5</t>
        </is>
      </c>
      <c r="I41" t="inlineStr">
        <is>
          <t>SPEC</t>
        </is>
      </c>
      <c r="J41" t="n">
        <v>6.41</v>
      </c>
      <c r="K41" t="inlineStr">
        <is>
          <t>1</t>
        </is>
      </c>
      <c r="L41" t="inlineStr">
        <is>
          <t>A</t>
        </is>
      </c>
      <c r="M41" t="n">
        <v>6</v>
      </c>
      <c r="N41" t="n">
        <v>4</v>
      </c>
      <c r="O41" t="inlineStr">
        <is>
          <t>N</t>
        </is>
      </c>
      <c r="P41" t="inlineStr">
        <is>
          <t>I'M READY TO GO</t>
        </is>
      </c>
      <c r="Q41" t="n">
        <v>1</v>
      </c>
      <c r="R41" t="n">
        <v>3</v>
      </c>
      <c r="S41" t="n">
        <v>4</v>
      </c>
      <c r="T41" t="n">
        <v>1</v>
      </c>
      <c r="U41" t="n">
        <v>0</v>
      </c>
      <c r="V41" t="n">
        <v>1.6</v>
      </c>
      <c r="W41" t="n">
        <v>2.5</v>
      </c>
      <c r="X41" t="n">
        <v>1.2</v>
      </c>
      <c r="Y41" t="n">
        <v>-2</v>
      </c>
      <c r="Z41" t="n">
        <v>6</v>
      </c>
      <c r="AA41" t="n">
        <v>-2</v>
      </c>
      <c r="AB41" t="n">
        <v>7</v>
      </c>
    </row>
    <row r="42">
      <c r="A42" t="inlineStr">
        <is>
          <t>20260510</t>
        </is>
      </c>
      <c r="B42" t="inlineStr">
        <is>
          <t>BAQ</t>
        </is>
      </c>
      <c r="C42" t="n">
        <v>8</v>
      </c>
      <c r="D42" t="inlineStr">
        <is>
          <t>D</t>
        </is>
      </c>
      <c r="E42" t="n">
        <v>8</v>
      </c>
      <c r="F42" t="inlineStr">
        <is>
          <t>A</t>
        </is>
      </c>
      <c r="G42" t="inlineStr">
        <is>
          <t>HOT</t>
        </is>
      </c>
      <c r="H42" t="inlineStr">
        <is>
          <t>9</t>
        </is>
      </c>
      <c r="I42" t="inlineStr">
        <is>
          <t>SPEC</t>
        </is>
      </c>
      <c r="J42" t="n">
        <v>5.33</v>
      </c>
      <c r="K42" t="inlineStr">
        <is>
          <t>1</t>
        </is>
      </c>
      <c r="L42" t="inlineStr">
        <is>
          <t>A</t>
        </is>
      </c>
      <c r="M42" t="n">
        <v>5</v>
      </c>
      <c r="N42" t="n">
        <v>6</v>
      </c>
      <c r="O42" t="inlineStr">
        <is>
          <t>N</t>
        </is>
      </c>
      <c r="P42" t="inlineStr">
        <is>
          <t>STICKUPWITHOUTAGUN</t>
        </is>
      </c>
      <c r="Q42" t="n">
        <v>7</v>
      </c>
      <c r="R42" t="n">
        <v>5</v>
      </c>
      <c r="S42" t="n">
        <v>4.68</v>
      </c>
      <c r="T42" t="n">
        <v>0</v>
      </c>
      <c r="U42" t="n">
        <v>0</v>
      </c>
      <c r="V42" t="n">
        <v>8</v>
      </c>
      <c r="W42" t="n">
        <v>6</v>
      </c>
      <c r="X42" t="n">
        <v>-2</v>
      </c>
      <c r="Y42" t="n">
        <v>-2</v>
      </c>
      <c r="Z42" t="n">
        <v>-2</v>
      </c>
      <c r="AA42" t="n">
        <v>-2</v>
      </c>
      <c r="AB42" t="n">
        <v>9</v>
      </c>
    </row>
    <row r="43">
      <c r="A43" t="inlineStr">
        <is>
          <t>20260510</t>
        </is>
      </c>
      <c r="B43" t="inlineStr">
        <is>
          <t>BAQ</t>
        </is>
      </c>
      <c r="C43" t="n">
        <v>9</v>
      </c>
      <c r="D43" t="inlineStr">
        <is>
          <t>t</t>
        </is>
      </c>
      <c r="E43" t="n">
        <v>8.5</v>
      </c>
      <c r="F43" t="inlineStr">
        <is>
          <t>A</t>
        </is>
      </c>
      <c r="G43" t="inlineStr">
        <is>
          <t>HOT</t>
        </is>
      </c>
      <c r="H43" t="inlineStr">
        <is>
          <t>10</t>
        </is>
      </c>
      <c r="I43" t="inlineStr">
        <is>
          <t>SPEC</t>
        </is>
      </c>
      <c r="J43" t="n">
        <v>6.32</v>
      </c>
      <c r="K43" t="inlineStr">
        <is>
          <t>10</t>
        </is>
      </c>
      <c r="L43" t="inlineStr">
        <is>
          <t>A</t>
        </is>
      </c>
      <c r="M43" t="n">
        <v>11</v>
      </c>
      <c r="N43" t="n">
        <v>5</v>
      </c>
      <c r="O43" t="inlineStr">
        <is>
          <t>Y</t>
        </is>
      </c>
      <c r="P43" t="inlineStr">
        <is>
          <t>JUST FOR LUCK</t>
        </is>
      </c>
      <c r="Q43" t="n">
        <v>1</v>
      </c>
      <c r="R43" t="n">
        <v>1</v>
      </c>
      <c r="S43" t="n">
        <v>7</v>
      </c>
      <c r="T43" t="n">
        <v>1</v>
      </c>
      <c r="U43" t="n">
        <v>1</v>
      </c>
      <c r="V43" t="n">
        <v>4.5</v>
      </c>
      <c r="W43" t="n">
        <v>4.5</v>
      </c>
      <c r="X43" t="n">
        <v>7</v>
      </c>
      <c r="Y43" t="n">
        <v>7</v>
      </c>
      <c r="Z43" t="n">
        <v>12</v>
      </c>
      <c r="AA43" t="n">
        <v>12</v>
      </c>
      <c r="AB43" t="n">
        <v>14</v>
      </c>
    </row>
    <row r="44">
      <c r="A44" t="inlineStr">
        <is>
          <t>20260514</t>
        </is>
      </c>
      <c r="B44" t="inlineStr">
        <is>
          <t>CDX</t>
        </is>
      </c>
      <c r="C44" t="n">
        <v>1</v>
      </c>
      <c r="D44" t="inlineStr">
        <is>
          <t>D</t>
        </is>
      </c>
      <c r="E44" t="n">
        <v>5</v>
      </c>
      <c r="F44" t="inlineStr">
        <is>
          <t>S</t>
        </is>
      </c>
      <c r="G44" t="inlineStr">
        <is>
          <t>SLOW</t>
        </is>
      </c>
      <c r="H44" t="inlineStr">
        <is>
          <t>4</t>
        </is>
      </c>
      <c r="I44" t="inlineStr">
        <is>
          <t>SPEC</t>
        </is>
      </c>
      <c r="J44" t="n">
        <v>5.72</v>
      </c>
      <c r="K44" t="inlineStr">
        <is>
          <t>4</t>
        </is>
      </c>
      <c r="L44" t="inlineStr">
        <is>
          <t>A</t>
        </is>
      </c>
      <c r="M44" t="n">
        <v>9</v>
      </c>
      <c r="N44" t="n">
        <v>5</v>
      </c>
      <c r="O44" t="inlineStr">
        <is>
          <t>Y</t>
        </is>
      </c>
      <c r="P44" t="inlineStr">
        <is>
          <t>CARDIO CAT</t>
        </is>
      </c>
      <c r="Q44" t="n">
        <v>1</v>
      </c>
      <c r="R44" t="n">
        <v>1</v>
      </c>
      <c r="S44" t="n">
        <v>2.7</v>
      </c>
      <c r="T44" t="n">
        <v>1</v>
      </c>
      <c r="U44" t="n">
        <v>1</v>
      </c>
      <c r="V44" t="n">
        <v>1.4</v>
      </c>
      <c r="W44" t="n">
        <v>1.4</v>
      </c>
      <c r="X44" t="n">
        <v>0.7999999999999998</v>
      </c>
      <c r="Y44" t="n">
        <v>0.7999999999999998</v>
      </c>
      <c r="Z44" t="n">
        <v>3.4</v>
      </c>
      <c r="AA44" t="n">
        <v>3.4</v>
      </c>
      <c r="AB44" t="n">
        <v>8</v>
      </c>
    </row>
    <row r="45">
      <c r="A45" t="inlineStr">
        <is>
          <t>20260514</t>
        </is>
      </c>
      <c r="B45" t="inlineStr">
        <is>
          <t>CDX</t>
        </is>
      </c>
      <c r="C45" t="n">
        <v>2</v>
      </c>
      <c r="D45" t="inlineStr">
        <is>
          <t>D</t>
        </is>
      </c>
      <c r="E45" t="n">
        <v>7</v>
      </c>
      <c r="F45" t="inlineStr">
        <is>
          <t>C</t>
        </is>
      </c>
      <c r="G45" t="inlineStr">
        <is>
          <t>HOT</t>
        </is>
      </c>
      <c r="H45" t="inlineStr">
        <is>
          <t>4</t>
        </is>
      </c>
      <c r="I45" t="inlineStr">
        <is>
          <t>SPEC</t>
        </is>
      </c>
      <c r="J45" t="n">
        <v>4.97</v>
      </c>
      <c r="K45" t="inlineStr">
        <is>
          <t>3</t>
        </is>
      </c>
      <c r="L45" t="inlineStr">
        <is>
          <t>A</t>
        </is>
      </c>
      <c r="M45" t="n">
        <v>11</v>
      </c>
      <c r="N45" t="n">
        <v>7</v>
      </c>
      <c r="O45" t="inlineStr">
        <is>
          <t>N</t>
        </is>
      </c>
      <c r="P45" t="inlineStr">
        <is>
          <t>GLOBAL SENSATION</t>
        </is>
      </c>
      <c r="Q45" t="n">
        <v>6</v>
      </c>
      <c r="R45" t="n">
        <v>1</v>
      </c>
      <c r="S45" t="n">
        <v>3.7</v>
      </c>
      <c r="T45" t="n">
        <v>0</v>
      </c>
      <c r="U45" t="n">
        <v>1</v>
      </c>
      <c r="V45" t="n">
        <v>6</v>
      </c>
      <c r="W45" t="n">
        <v>3</v>
      </c>
      <c r="X45" t="n">
        <v>-2</v>
      </c>
      <c r="Y45" t="n">
        <v>4</v>
      </c>
      <c r="Z45" t="n">
        <v>-2</v>
      </c>
      <c r="AA45" t="n">
        <v>5.4</v>
      </c>
      <c r="AB45" t="n">
        <v>10</v>
      </c>
    </row>
    <row r="46">
      <c r="A46" t="inlineStr">
        <is>
          <t>20260514</t>
        </is>
      </c>
      <c r="B46" t="inlineStr">
        <is>
          <t>CDX</t>
        </is>
      </c>
      <c r="C46" t="n">
        <v>3</v>
      </c>
      <c r="D46" t="inlineStr">
        <is>
          <t>D</t>
        </is>
      </c>
      <c r="E46" t="n">
        <v>8</v>
      </c>
      <c r="F46" t="inlineStr">
        <is>
          <t>C</t>
        </is>
      </c>
      <c r="G46" t="inlineStr">
        <is>
          <t>HOT</t>
        </is>
      </c>
      <c r="H46" t="inlineStr">
        <is>
          <t>6</t>
        </is>
      </c>
      <c r="I46" t="inlineStr">
        <is>
          <t>SPEC</t>
        </is>
      </c>
      <c r="J46" t="n">
        <v>5.81</v>
      </c>
      <c r="K46" t="inlineStr">
        <is>
          <t>8</t>
        </is>
      </c>
      <c r="L46" t="inlineStr">
        <is>
          <t>A</t>
        </is>
      </c>
      <c r="M46" t="n">
        <v>7</v>
      </c>
      <c r="N46" t="n">
        <v>5</v>
      </c>
      <c r="O46" t="inlineStr">
        <is>
          <t>N</t>
        </is>
      </c>
      <c r="P46" t="inlineStr">
        <is>
          <t>BEIRA</t>
        </is>
      </c>
      <c r="Q46" t="n">
        <v>1</v>
      </c>
      <c r="R46" t="n">
        <v>5</v>
      </c>
      <c r="S46" t="n">
        <v>9.06</v>
      </c>
      <c r="T46" t="n">
        <v>1</v>
      </c>
      <c r="U46" t="n">
        <v>0</v>
      </c>
      <c r="V46" t="n">
        <v>5</v>
      </c>
      <c r="W46" t="n">
        <v>3.5</v>
      </c>
      <c r="X46" t="n">
        <v>8</v>
      </c>
      <c r="Y46" t="n">
        <v>-2</v>
      </c>
      <c r="Z46" t="n">
        <v>16.12</v>
      </c>
      <c r="AA46" t="n">
        <v>-2</v>
      </c>
      <c r="AB46" t="n">
        <v>9</v>
      </c>
    </row>
    <row r="47">
      <c r="A47" t="inlineStr">
        <is>
          <t>20260514</t>
        </is>
      </c>
      <c r="B47" t="inlineStr">
        <is>
          <t>CDX</t>
        </is>
      </c>
      <c r="C47" t="n">
        <v>4</v>
      </c>
      <c r="D47" t="inlineStr">
        <is>
          <t>D</t>
        </is>
      </c>
      <c r="E47" t="n">
        <v>5</v>
      </c>
      <c r="F47" t="inlineStr">
        <is>
          <t>S</t>
        </is>
      </c>
      <c r="G47" t="inlineStr">
        <is>
          <t>SLOW</t>
        </is>
      </c>
      <c r="H47" t="inlineStr">
        <is>
          <t>8</t>
        </is>
      </c>
      <c r="I47" t="inlineStr">
        <is>
          <t>SPEC</t>
        </is>
      </c>
      <c r="J47" t="n">
        <v>4.95</v>
      </c>
      <c r="K47" t="inlineStr">
        <is>
          <t>8</t>
        </is>
      </c>
      <c r="L47" t="inlineStr">
        <is>
          <t>A</t>
        </is>
      </c>
      <c r="M47" t="n">
        <v>8</v>
      </c>
      <c r="N47" t="n">
        <v>6</v>
      </c>
      <c r="O47" t="inlineStr">
        <is>
          <t>Y</t>
        </is>
      </c>
      <c r="P47" t="inlineStr">
        <is>
          <t>CAPTAIN LUKE</t>
        </is>
      </c>
      <c r="Q47" t="n">
        <v>6</v>
      </c>
      <c r="R47" t="n">
        <v>9</v>
      </c>
      <c r="S47" t="n">
        <v>33.12</v>
      </c>
      <c r="T47" t="n">
        <v>0</v>
      </c>
      <c r="U47" t="n">
        <v>0</v>
      </c>
      <c r="V47" t="n">
        <v>4.5</v>
      </c>
      <c r="W47" t="n">
        <v>4.5</v>
      </c>
      <c r="X47" t="n">
        <v>-2</v>
      </c>
      <c r="Y47" t="n">
        <v>-2</v>
      </c>
      <c r="Z47" t="n">
        <v>-2</v>
      </c>
      <c r="AA47" t="n">
        <v>-2</v>
      </c>
      <c r="AB47" t="n">
        <v>13</v>
      </c>
    </row>
    <row r="48">
      <c r="A48" t="inlineStr">
        <is>
          <t>20260514</t>
        </is>
      </c>
      <c r="B48" t="inlineStr">
        <is>
          <t>CDX</t>
        </is>
      </c>
      <c r="C48" t="n">
        <v>5</v>
      </c>
      <c r="D48" t="inlineStr">
        <is>
          <t>T</t>
        </is>
      </c>
      <c r="E48" t="n">
        <v>11</v>
      </c>
      <c r="F48" t="inlineStr">
        <is>
          <t>AO</t>
        </is>
      </c>
      <c r="G48" t="inlineStr">
        <is>
          <t>SLOW</t>
        </is>
      </c>
      <c r="H48" t="inlineStr">
        <is>
          <t>8</t>
        </is>
      </c>
      <c r="I48" t="inlineStr">
        <is>
          <t>SPEC</t>
        </is>
      </c>
      <c r="J48" t="n">
        <v>6.23</v>
      </c>
      <c r="K48" t="inlineStr">
        <is>
          <t>5</t>
        </is>
      </c>
      <c r="L48" t="inlineStr">
        <is>
          <t>A</t>
        </is>
      </c>
      <c r="M48" t="n">
        <v>4</v>
      </c>
      <c r="N48" t="n">
        <v>2</v>
      </c>
      <c r="O48" t="inlineStr">
        <is>
          <t>N</t>
        </is>
      </c>
      <c r="P48" t="inlineStr">
        <is>
          <t>SOLEIL VOLANT</t>
        </is>
      </c>
      <c r="Q48" t="n">
        <v>1</v>
      </c>
      <c r="R48" t="n">
        <v>14</v>
      </c>
      <c r="S48" t="n">
        <v>52.06</v>
      </c>
      <c r="T48" t="n">
        <v>1</v>
      </c>
      <c r="U48" t="n">
        <v>0</v>
      </c>
      <c r="V48" t="n">
        <v>20</v>
      </c>
      <c r="W48" t="n">
        <v>30</v>
      </c>
      <c r="X48" t="n">
        <v>38</v>
      </c>
      <c r="Y48" t="n">
        <v>-2</v>
      </c>
      <c r="Z48" t="n">
        <v>102.12</v>
      </c>
      <c r="AA48" t="n">
        <v>-2</v>
      </c>
      <c r="AB48" t="n">
        <v>15</v>
      </c>
    </row>
    <row r="49">
      <c r="A49" t="inlineStr">
        <is>
          <t>20260514</t>
        </is>
      </c>
      <c r="B49" t="inlineStr">
        <is>
          <t>CDX</t>
        </is>
      </c>
      <c r="C49" t="n">
        <v>6</v>
      </c>
      <c r="D49" t="inlineStr">
        <is>
          <t>D</t>
        </is>
      </c>
      <c r="E49" t="n">
        <v>8.5</v>
      </c>
      <c r="F49" t="inlineStr">
        <is>
          <t>C</t>
        </is>
      </c>
      <c r="G49" t="inlineStr">
        <is>
          <t>SLOW</t>
        </is>
      </c>
      <c r="H49" t="inlineStr">
        <is>
          <t>1</t>
        </is>
      </c>
      <c r="I49" t="inlineStr">
        <is>
          <t>SPEC</t>
        </is>
      </c>
      <c r="J49" t="n">
        <v>6.43</v>
      </c>
      <c r="K49" t="inlineStr">
        <is>
          <t>8</t>
        </is>
      </c>
      <c r="L49" t="inlineStr">
        <is>
          <t>A</t>
        </is>
      </c>
      <c r="M49" t="n">
        <v>7</v>
      </c>
      <c r="N49" t="n">
        <v>4</v>
      </c>
      <c r="O49" t="inlineStr">
        <is>
          <t>N</t>
        </is>
      </c>
      <c r="P49" t="inlineStr">
        <is>
          <t>CLASSIC CAR WASH</t>
        </is>
      </c>
      <c r="Q49" t="n">
        <v>3</v>
      </c>
      <c r="R49" t="n">
        <v>1</v>
      </c>
      <c r="S49" t="n">
        <v>8.82</v>
      </c>
      <c r="T49" t="n">
        <v>0</v>
      </c>
      <c r="U49" t="n">
        <v>1</v>
      </c>
      <c r="V49" t="n">
        <v>2.5</v>
      </c>
      <c r="W49" t="n">
        <v>3</v>
      </c>
      <c r="X49" t="n">
        <v>-2</v>
      </c>
      <c r="Y49" t="n">
        <v>4</v>
      </c>
      <c r="Z49" t="n">
        <v>-2</v>
      </c>
      <c r="AA49" t="n">
        <v>15.64</v>
      </c>
      <c r="AB49" t="n">
        <v>8</v>
      </c>
    </row>
    <row r="50">
      <c r="A50" t="inlineStr">
        <is>
          <t>20260514</t>
        </is>
      </c>
      <c r="B50" t="inlineStr">
        <is>
          <t>CDX</t>
        </is>
      </c>
      <c r="C50" t="n">
        <v>7</v>
      </c>
      <c r="D50" t="inlineStr">
        <is>
          <t>D</t>
        </is>
      </c>
      <c r="E50" t="n">
        <v>9</v>
      </c>
      <c r="F50" t="inlineStr">
        <is>
          <t>A</t>
        </is>
      </c>
      <c r="G50" t="inlineStr">
        <is>
          <t>NORMAL</t>
        </is>
      </c>
      <c r="H50" t="inlineStr">
        <is>
          <t>7</t>
        </is>
      </c>
      <c r="I50" t="inlineStr">
        <is>
          <t>SPEC</t>
        </is>
      </c>
      <c r="J50" t="n">
        <v>5.32</v>
      </c>
      <c r="K50" t="inlineStr">
        <is>
          <t>5</t>
        </is>
      </c>
      <c r="L50" t="inlineStr">
        <is>
          <t>A</t>
        </is>
      </c>
      <c r="M50" t="n">
        <v>9</v>
      </c>
      <c r="N50" t="n">
        <v>5</v>
      </c>
      <c r="O50" t="inlineStr">
        <is>
          <t>N</t>
        </is>
      </c>
      <c r="P50" t="inlineStr">
        <is>
          <t>MASTER CONTROLLER</t>
        </is>
      </c>
      <c r="Q50" t="n">
        <v>5</v>
      </c>
      <c r="R50" t="n">
        <v>3</v>
      </c>
      <c r="S50" t="n">
        <v>32.5</v>
      </c>
      <c r="T50" t="n">
        <v>0</v>
      </c>
      <c r="U50" t="n">
        <v>0</v>
      </c>
      <c r="V50" t="n">
        <v>1.8</v>
      </c>
      <c r="W50" t="n">
        <v>3.5</v>
      </c>
      <c r="X50" t="n">
        <v>-2</v>
      </c>
      <c r="Y50" t="n">
        <v>-2</v>
      </c>
      <c r="Z50" t="n">
        <v>-2</v>
      </c>
      <c r="AA50" t="n">
        <v>-2</v>
      </c>
      <c r="AB50" t="n">
        <v>7</v>
      </c>
    </row>
    <row r="51">
      <c r="A51" t="inlineStr">
        <is>
          <t>20260514</t>
        </is>
      </c>
      <c r="B51" t="inlineStr">
        <is>
          <t>CDX</t>
        </is>
      </c>
      <c r="C51" t="n">
        <v>8</v>
      </c>
      <c r="D51" t="inlineStr">
        <is>
          <t>T</t>
        </is>
      </c>
      <c r="E51" t="n">
        <v>5</v>
      </c>
      <c r="F51" t="inlineStr">
        <is>
          <t>S</t>
        </is>
      </c>
      <c r="G51" t="inlineStr">
        <is>
          <t>HOT</t>
        </is>
      </c>
      <c r="H51" t="inlineStr">
        <is>
          <t>3</t>
        </is>
      </c>
      <c r="I51" t="inlineStr">
        <is>
          <t>SPEC</t>
        </is>
      </c>
      <c r="J51" t="n">
        <v>4.7</v>
      </c>
      <c r="K51" t="inlineStr">
        <is>
          <t>13</t>
        </is>
      </c>
      <c r="L51" t="inlineStr">
        <is>
          <t>A</t>
        </is>
      </c>
      <c r="M51" t="n">
        <v>10</v>
      </c>
      <c r="N51" t="n">
        <v>5</v>
      </c>
      <c r="O51" t="inlineStr">
        <is>
          <t>N</t>
        </is>
      </c>
      <c r="P51" t="inlineStr">
        <is>
          <t>TWIRLING CLAIRE</t>
        </is>
      </c>
      <c r="Q51" t="n">
        <v>1</v>
      </c>
      <c r="R51" t="n">
        <v>2</v>
      </c>
      <c r="S51" t="n">
        <v>5.8</v>
      </c>
      <c r="T51" t="n">
        <v>1</v>
      </c>
      <c r="U51" t="n">
        <v>0</v>
      </c>
      <c r="V51" t="n">
        <v>2.5</v>
      </c>
      <c r="W51" t="n">
        <v>3.5</v>
      </c>
      <c r="X51" t="n">
        <v>3</v>
      </c>
      <c r="Y51" t="n">
        <v>-2</v>
      </c>
      <c r="Z51" t="n">
        <v>9.6</v>
      </c>
      <c r="AA51" t="n">
        <v>-2</v>
      </c>
      <c r="AB51" t="n">
        <v>16</v>
      </c>
    </row>
    <row r="52">
      <c r="A52" t="inlineStr">
        <is>
          <t>20260516</t>
        </is>
      </c>
      <c r="B52" t="inlineStr">
        <is>
          <t>LRL</t>
        </is>
      </c>
      <c r="C52" t="n">
        <v>1</v>
      </c>
      <c r="D52" t="inlineStr">
        <is>
          <t>T</t>
        </is>
      </c>
      <c r="E52" t="n">
        <v>5.5</v>
      </c>
      <c r="F52" t="inlineStr">
        <is>
          <t>AO</t>
        </is>
      </c>
      <c r="G52" t="inlineStr">
        <is>
          <t>HOT</t>
        </is>
      </c>
      <c r="H52" t="inlineStr">
        <is>
          <t>4</t>
        </is>
      </c>
      <c r="I52" t="inlineStr">
        <is>
          <t>SPEC</t>
        </is>
      </c>
      <c r="J52" t="n">
        <v>5.72</v>
      </c>
      <c r="K52" t="inlineStr">
        <is>
          <t>8</t>
        </is>
      </c>
      <c r="L52" t="inlineStr">
        <is>
          <t>A</t>
        </is>
      </c>
      <c r="M52" t="n">
        <v>5</v>
      </c>
      <c r="N52" t="n">
        <v>4</v>
      </c>
      <c r="O52" t="inlineStr">
        <is>
          <t>N</t>
        </is>
      </c>
      <c r="P52" t="inlineStr">
        <is>
          <t>BOUJEE BUBBLEZ</t>
        </is>
      </c>
      <c r="Q52" t="n">
        <v>3</v>
      </c>
      <c r="R52" t="n">
        <v>8</v>
      </c>
      <c r="S52" t="n">
        <v>4</v>
      </c>
      <c r="T52" t="n">
        <v>0</v>
      </c>
      <c r="U52" t="n">
        <v>0</v>
      </c>
      <c r="V52" t="n">
        <v>30</v>
      </c>
      <c r="W52" t="n">
        <v>6</v>
      </c>
      <c r="X52" t="n">
        <v>-2</v>
      </c>
      <c r="Y52" t="n">
        <v>-2</v>
      </c>
      <c r="Z52" t="n">
        <v>-2</v>
      </c>
      <c r="AA52" t="n">
        <v>-2</v>
      </c>
      <c r="AB52" t="n">
        <v>11</v>
      </c>
    </row>
    <row r="53">
      <c r="A53" t="inlineStr">
        <is>
          <t>20260516</t>
        </is>
      </c>
      <c r="B53" t="inlineStr">
        <is>
          <t>LRL</t>
        </is>
      </c>
      <c r="C53" t="n">
        <v>2</v>
      </c>
      <c r="D53" t="inlineStr">
        <is>
          <t>D</t>
        </is>
      </c>
      <c r="E53" t="n">
        <v>6</v>
      </c>
      <c r="F53" t="inlineStr">
        <is>
          <t>AO</t>
        </is>
      </c>
      <c r="G53" t="inlineStr">
        <is>
          <t>NORMAL</t>
        </is>
      </c>
      <c r="H53" t="inlineStr">
        <is>
          <t>2</t>
        </is>
      </c>
      <c r="I53" t="inlineStr">
        <is>
          <t>SPEC</t>
        </is>
      </c>
      <c r="J53" t="n">
        <v>6.38</v>
      </c>
      <c r="K53" t="inlineStr">
        <is>
          <t>10</t>
        </is>
      </c>
      <c r="L53" t="inlineStr">
        <is>
          <t>A</t>
        </is>
      </c>
      <c r="M53" t="n">
        <v>7</v>
      </c>
      <c r="N53" t="n">
        <v>4</v>
      </c>
      <c r="O53" t="inlineStr">
        <is>
          <t>N</t>
        </is>
      </c>
      <c r="P53" t="inlineStr">
        <is>
          <t>WICKEDDIVINE</t>
        </is>
      </c>
      <c r="Q53" t="n">
        <v>1</v>
      </c>
      <c r="R53" t="n">
        <v>5</v>
      </c>
      <c r="S53" t="n">
        <v>1.6</v>
      </c>
      <c r="T53" t="n">
        <v>1</v>
      </c>
      <c r="U53" t="n">
        <v>0</v>
      </c>
      <c r="V53" t="n">
        <v>6</v>
      </c>
      <c r="W53" t="n">
        <v>1.2</v>
      </c>
      <c r="X53" t="n">
        <v>10</v>
      </c>
      <c r="Y53" t="n">
        <v>-2</v>
      </c>
      <c r="Z53" t="n">
        <v>1.2</v>
      </c>
      <c r="AA53" t="n">
        <v>-2</v>
      </c>
      <c r="AB53" t="n">
        <v>13</v>
      </c>
    </row>
    <row r="54">
      <c r="A54" t="inlineStr">
        <is>
          <t>20260516</t>
        </is>
      </c>
      <c r="B54" t="inlineStr">
        <is>
          <t>LRL</t>
        </is>
      </c>
      <c r="C54" t="n">
        <v>3</v>
      </c>
      <c r="D54" t="inlineStr">
        <is>
          <t>T</t>
        </is>
      </c>
      <c r="E54" t="n">
        <v>8</v>
      </c>
      <c r="F54" t="inlineStr">
        <is>
          <t>S</t>
        </is>
      </c>
      <c r="G54" t="inlineStr">
        <is>
          <t>HOT</t>
        </is>
      </c>
      <c r="H54" t="inlineStr">
        <is>
          <t>4</t>
        </is>
      </c>
      <c r="I54" t="inlineStr">
        <is>
          <t>SPEC</t>
        </is>
      </c>
      <c r="J54" t="n">
        <v>5.06</v>
      </c>
      <c r="K54" t="inlineStr">
        <is>
          <t>4</t>
        </is>
      </c>
      <c r="L54" t="inlineStr">
        <is>
          <t>A</t>
        </is>
      </c>
      <c r="M54" t="n">
        <v>8</v>
      </c>
      <c r="N54" t="n">
        <v>3</v>
      </c>
      <c r="O54" t="inlineStr">
        <is>
          <t>Y</t>
        </is>
      </c>
      <c r="P54" t="inlineStr">
        <is>
          <t>LIMO</t>
        </is>
      </c>
      <c r="Q54" t="n">
        <v>4</v>
      </c>
      <c r="R54" t="n">
        <v>2</v>
      </c>
      <c r="S54" t="n">
        <v>4.7</v>
      </c>
      <c r="T54" t="n">
        <v>0</v>
      </c>
      <c r="U54" t="n">
        <v>0</v>
      </c>
      <c r="V54" t="n">
        <v>4</v>
      </c>
      <c r="W54" t="n">
        <v>4</v>
      </c>
      <c r="X54" t="n">
        <v>-2</v>
      </c>
      <c r="Y54" t="n">
        <v>-2</v>
      </c>
      <c r="Z54" t="n">
        <v>-2</v>
      </c>
      <c r="AA54" t="n">
        <v>-2</v>
      </c>
      <c r="AB54" t="n">
        <v>11</v>
      </c>
    </row>
    <row r="55">
      <c r="A55" t="inlineStr">
        <is>
          <t>20260516</t>
        </is>
      </c>
      <c r="B55" t="inlineStr">
        <is>
          <t>LRL</t>
        </is>
      </c>
      <c r="C55" t="n">
        <v>4</v>
      </c>
      <c r="D55" t="inlineStr">
        <is>
          <t>D</t>
        </is>
      </c>
      <c r="E55" t="n">
        <v>6</v>
      </c>
      <c r="F55" t="inlineStr">
        <is>
          <t>N</t>
        </is>
      </c>
      <c r="G55" t="inlineStr">
        <is>
          <t>NORMAL</t>
        </is>
      </c>
      <c r="H55" t="inlineStr">
        <is>
          <t>2</t>
        </is>
      </c>
      <c r="I55" t="inlineStr">
        <is>
          <t>FAIR</t>
        </is>
      </c>
      <c r="J55" t="n">
        <v>7.02</v>
      </c>
      <c r="K55" t="inlineStr">
        <is>
          <t>1</t>
        </is>
      </c>
      <c r="L55" t="inlineStr">
        <is>
          <t>A</t>
        </is>
      </c>
      <c r="M55" t="n">
        <v>9</v>
      </c>
      <c r="N55" t="n">
        <v>6</v>
      </c>
      <c r="O55" t="inlineStr">
        <is>
          <t>N</t>
        </is>
      </c>
      <c r="P55" t="inlineStr">
        <is>
          <t>STRIKER HAS DIAL</t>
        </is>
      </c>
      <c r="Q55" t="n">
        <v>3</v>
      </c>
      <c r="R55" t="n">
        <v>1</v>
      </c>
      <c r="S55" t="n">
        <v>7.2</v>
      </c>
      <c r="T55" t="n">
        <v>0</v>
      </c>
      <c r="U55" t="n">
        <v>1</v>
      </c>
      <c r="V55" t="n">
        <v>3</v>
      </c>
      <c r="W55" t="n">
        <v>8</v>
      </c>
      <c r="X55" t="n">
        <v>-2</v>
      </c>
      <c r="Y55" t="n">
        <v>14</v>
      </c>
      <c r="Z55" t="n">
        <v>-2</v>
      </c>
      <c r="AA55" t="n">
        <v>12.4</v>
      </c>
      <c r="AB55" t="n">
        <v>7</v>
      </c>
    </row>
    <row r="56">
      <c r="A56" t="inlineStr">
        <is>
          <t>20260516</t>
        </is>
      </c>
      <c r="B56" t="inlineStr">
        <is>
          <t>LRL</t>
        </is>
      </c>
      <c r="C56" t="n">
        <v>5</v>
      </c>
      <c r="D56" t="inlineStr">
        <is>
          <t>T</t>
        </is>
      </c>
      <c r="E56" t="n">
        <v>8</v>
      </c>
      <c r="F56" t="inlineStr">
        <is>
          <t>A</t>
        </is>
      </c>
      <c r="G56" t="inlineStr">
        <is>
          <t>NORMAL</t>
        </is>
      </c>
      <c r="H56" t="inlineStr">
        <is>
          <t>7</t>
        </is>
      </c>
      <c r="I56" t="inlineStr">
        <is>
          <t>SPEC</t>
        </is>
      </c>
      <c r="J56" t="n">
        <v>5.59</v>
      </c>
      <c r="K56" t="inlineStr">
        <is>
          <t>2</t>
        </is>
      </c>
      <c r="L56" t="inlineStr">
        <is>
          <t>A</t>
        </is>
      </c>
      <c r="M56" t="n">
        <v>4</v>
      </c>
      <c r="N56" t="n">
        <v>3</v>
      </c>
      <c r="O56" t="inlineStr">
        <is>
          <t>N</t>
        </is>
      </c>
      <c r="P56" t="inlineStr">
        <is>
          <t>I LOVE GIRAFFES</t>
        </is>
      </c>
      <c r="Q56" t="n">
        <v>9</v>
      </c>
      <c r="R56" t="n">
        <v>4</v>
      </c>
      <c r="S56" t="n">
        <v>7.1</v>
      </c>
      <c r="T56" t="n">
        <v>0</v>
      </c>
      <c r="U56" t="n">
        <v>0</v>
      </c>
      <c r="V56" t="n">
        <v>5</v>
      </c>
      <c r="W56" t="n">
        <v>30</v>
      </c>
      <c r="X56" t="n">
        <v>-2</v>
      </c>
      <c r="Y56" t="n">
        <v>-2</v>
      </c>
      <c r="Z56" t="n">
        <v>-2</v>
      </c>
      <c r="AA56" t="n">
        <v>-2</v>
      </c>
      <c r="AB56" t="n">
        <v>15</v>
      </c>
    </row>
    <row r="57">
      <c r="A57" t="inlineStr">
        <is>
          <t>20260516</t>
        </is>
      </c>
      <c r="B57" t="inlineStr">
        <is>
          <t>LRL</t>
        </is>
      </c>
      <c r="C57" t="n">
        <v>6</v>
      </c>
      <c r="D57" t="inlineStr">
        <is>
          <t>D</t>
        </is>
      </c>
      <c r="E57" t="n">
        <v>8.5</v>
      </c>
      <c r="F57" t="inlineStr">
        <is>
          <t>N</t>
        </is>
      </c>
      <c r="G57" t="inlineStr">
        <is>
          <t>NORMAL</t>
        </is>
      </c>
      <c r="H57" t="inlineStr">
        <is>
          <t>4</t>
        </is>
      </c>
      <c r="I57" t="inlineStr">
        <is>
          <t>SPEC</t>
        </is>
      </c>
      <c r="J57" t="n">
        <v>6.3</v>
      </c>
      <c r="K57" t="inlineStr">
        <is>
          <t>4</t>
        </is>
      </c>
      <c r="L57" t="inlineStr">
        <is>
          <t>A</t>
        </is>
      </c>
      <c r="M57" t="n">
        <v>6</v>
      </c>
      <c r="N57" t="n">
        <v>3</v>
      </c>
      <c r="O57" t="inlineStr">
        <is>
          <t>Y</t>
        </is>
      </c>
      <c r="P57" t="inlineStr">
        <is>
          <t>BIG CUDDLE</t>
        </is>
      </c>
      <c r="Q57" t="n">
        <v>3</v>
      </c>
      <c r="R57" t="n">
        <v>5</v>
      </c>
      <c r="S57" t="n">
        <v>5.4</v>
      </c>
      <c r="T57" t="n">
        <v>0</v>
      </c>
      <c r="U57" t="n">
        <v>0</v>
      </c>
      <c r="V57" t="n">
        <v>2</v>
      </c>
      <c r="W57" t="n">
        <v>2</v>
      </c>
      <c r="X57" t="n">
        <v>-2</v>
      </c>
      <c r="Y57" t="n">
        <v>-2</v>
      </c>
      <c r="Z57" t="n">
        <v>-2</v>
      </c>
      <c r="AA57" t="n">
        <v>-2</v>
      </c>
      <c r="AB57" t="n">
        <v>7</v>
      </c>
    </row>
    <row r="58">
      <c r="A58" t="inlineStr">
        <is>
          <t>20260516</t>
        </is>
      </c>
      <c r="B58" t="inlineStr">
        <is>
          <t>LRL</t>
        </is>
      </c>
      <c r="C58" t="n">
        <v>7</v>
      </c>
      <c r="D58" t="inlineStr">
        <is>
          <t>D</t>
        </is>
      </c>
      <c r="E58" t="n">
        <v>6</v>
      </c>
      <c r="F58" t="inlineStr">
        <is>
          <t>N</t>
        </is>
      </c>
      <c r="G58" t="inlineStr">
        <is>
          <t>HOT</t>
        </is>
      </c>
      <c r="H58" t="inlineStr">
        <is>
          <t>4</t>
        </is>
      </c>
      <c r="I58" t="inlineStr">
        <is>
          <t>SPEC</t>
        </is>
      </c>
      <c r="J58" t="n">
        <v>5.98</v>
      </c>
      <c r="K58" t="inlineStr">
        <is>
          <t>4</t>
        </is>
      </c>
      <c r="L58" t="inlineStr">
        <is>
          <t>A</t>
        </is>
      </c>
      <c r="M58" t="n">
        <v>10</v>
      </c>
      <c r="N58" t="n">
        <v>5</v>
      </c>
      <c r="O58" t="inlineStr">
        <is>
          <t>Y</t>
        </is>
      </c>
      <c r="P58" t="inlineStr">
        <is>
          <t>OBLITERATION</t>
        </is>
      </c>
      <c r="Q58" t="n">
        <v>1</v>
      </c>
      <c r="R58" t="n">
        <v>1</v>
      </c>
      <c r="S58" t="n">
        <v>0.7</v>
      </c>
      <c r="T58" t="n">
        <v>1</v>
      </c>
      <c r="U58" t="n">
        <v>1</v>
      </c>
      <c r="V58" t="n">
        <v>1.2</v>
      </c>
      <c r="W58" t="n">
        <v>1.2</v>
      </c>
      <c r="X58" t="n">
        <v>0.3999999999999999</v>
      </c>
      <c r="Y58" t="n">
        <v>0.3999999999999999</v>
      </c>
      <c r="Z58" t="n">
        <v>-0.6000000000000001</v>
      </c>
      <c r="AA58" t="n">
        <v>-0.6000000000000001</v>
      </c>
      <c r="AB58" t="n">
        <v>8</v>
      </c>
    </row>
    <row r="59">
      <c r="A59" t="inlineStr">
        <is>
          <t>20260516</t>
        </is>
      </c>
      <c r="B59" t="inlineStr">
        <is>
          <t>LRL</t>
        </is>
      </c>
      <c r="C59" t="n">
        <v>8</v>
      </c>
      <c r="D59" t="inlineStr">
        <is>
          <t>D</t>
        </is>
      </c>
      <c r="E59" t="n">
        <v>6</v>
      </c>
      <c r="F59" t="inlineStr">
        <is>
          <t>G3</t>
        </is>
      </c>
      <c r="G59" t="inlineStr">
        <is>
          <t>HOT</t>
        </is>
      </c>
      <c r="H59" t="inlineStr">
        <is>
          <t>4</t>
        </is>
      </c>
      <c r="I59" t="inlineStr">
        <is>
          <t>FAIR</t>
        </is>
      </c>
      <c r="J59" t="n">
        <v>6.74</v>
      </c>
      <c r="K59" t="inlineStr">
        <is>
          <t>4</t>
        </is>
      </c>
      <c r="L59" t="inlineStr">
        <is>
          <t>A</t>
        </is>
      </c>
      <c r="M59" t="n">
        <v>9</v>
      </c>
      <c r="N59" t="n">
        <v>4</v>
      </c>
      <c r="O59" t="inlineStr">
        <is>
          <t>Y</t>
        </is>
      </c>
      <c r="P59" t="inlineStr">
        <is>
          <t>BRING THE SMOKE</t>
        </is>
      </c>
      <c r="Q59" t="n">
        <v>6</v>
      </c>
      <c r="R59" t="n">
        <v>4</v>
      </c>
      <c r="S59" t="n">
        <v>7.3</v>
      </c>
      <c r="T59" t="n">
        <v>0</v>
      </c>
      <c r="U59" t="n">
        <v>0</v>
      </c>
      <c r="V59" t="n">
        <v>3.5</v>
      </c>
      <c r="W59" t="n">
        <v>3.5</v>
      </c>
      <c r="X59" t="n">
        <v>-2</v>
      </c>
      <c r="Y59" t="n">
        <v>-2</v>
      </c>
      <c r="Z59" t="n">
        <v>-2</v>
      </c>
      <c r="AA59" t="n">
        <v>-2</v>
      </c>
      <c r="AB59" t="n">
        <v>9</v>
      </c>
    </row>
    <row r="60">
      <c r="A60" t="inlineStr">
        <is>
          <t>20260516</t>
        </is>
      </c>
      <c r="B60" t="inlineStr">
        <is>
          <t>LRL</t>
        </is>
      </c>
      <c r="C60" t="n">
        <v>9</v>
      </c>
      <c r="D60" t="inlineStr">
        <is>
          <t>T</t>
        </is>
      </c>
      <c r="E60" t="n">
        <v>8</v>
      </c>
      <c r="F60" t="inlineStr">
        <is>
          <t>N</t>
        </is>
      </c>
      <c r="G60" t="inlineStr">
        <is>
          <t>NORMAL</t>
        </is>
      </c>
      <c r="H60" t="inlineStr">
        <is>
          <t>6</t>
        </is>
      </c>
      <c r="I60" t="inlineStr">
        <is>
          <t>SPEC</t>
        </is>
      </c>
      <c r="J60" t="n">
        <v>5.49</v>
      </c>
      <c r="K60" t="inlineStr">
        <is>
          <t>4</t>
        </is>
      </c>
      <c r="L60" t="inlineStr">
        <is>
          <t>A</t>
        </is>
      </c>
      <c r="M60" t="n">
        <v>5</v>
      </c>
      <c r="N60" t="n">
        <v>3</v>
      </c>
      <c r="O60" t="inlineStr">
        <is>
          <t>N</t>
        </is>
      </c>
      <c r="P60" t="inlineStr">
        <is>
          <t>TURF STAR</t>
        </is>
      </c>
      <c r="Q60" t="n">
        <v>1</v>
      </c>
      <c r="R60" t="n">
        <v>3</v>
      </c>
      <c r="S60" t="n">
        <v>4.2</v>
      </c>
      <c r="T60" t="n">
        <v>1</v>
      </c>
      <c r="U60" t="n">
        <v>0</v>
      </c>
      <c r="V60" t="n">
        <v>2.5</v>
      </c>
      <c r="W60" t="n">
        <v>4.5</v>
      </c>
      <c r="X60" t="n">
        <v>3</v>
      </c>
      <c r="Y60" t="n">
        <v>-2</v>
      </c>
      <c r="Z60" t="n">
        <v>6.4</v>
      </c>
      <c r="AA60" t="n">
        <v>-2</v>
      </c>
      <c r="AB60" t="n">
        <v>8</v>
      </c>
    </row>
    <row r="61">
      <c r="A61" t="inlineStr">
        <is>
          <t>20260516</t>
        </is>
      </c>
      <c r="B61" t="inlineStr">
        <is>
          <t>LRL</t>
        </is>
      </c>
      <c r="C61" t="n">
        <v>10</v>
      </c>
      <c r="D61" t="inlineStr">
        <is>
          <t>T</t>
        </is>
      </c>
      <c r="E61" t="n">
        <v>9</v>
      </c>
      <c r="F61" t="inlineStr">
        <is>
          <t>G3</t>
        </is>
      </c>
      <c r="G61" t="inlineStr">
        <is>
          <t>SLOW</t>
        </is>
      </c>
      <c r="H61" t="inlineStr">
        <is>
          <t>3</t>
        </is>
      </c>
      <c r="I61" t="inlineStr">
        <is>
          <t>SPEC</t>
        </is>
      </c>
      <c r="J61" t="n">
        <v>5.74</v>
      </c>
      <c r="K61" t="inlineStr">
        <is>
          <t>6</t>
        </is>
      </c>
      <c r="L61" t="inlineStr">
        <is>
          <t>A</t>
        </is>
      </c>
      <c r="M61" t="n">
        <v>8</v>
      </c>
      <c r="N61" t="n">
        <v>4</v>
      </c>
      <c r="O61" t="inlineStr">
        <is>
          <t>N</t>
        </is>
      </c>
      <c r="P61" t="inlineStr">
        <is>
          <t>FORT WASHINGTON</t>
        </is>
      </c>
      <c r="Q61" t="n">
        <v>3</v>
      </c>
      <c r="R61" t="n">
        <v>2</v>
      </c>
      <c r="S61" t="n">
        <v>2.9</v>
      </c>
      <c r="T61" t="n">
        <v>0</v>
      </c>
      <c r="U61" t="n">
        <v>0</v>
      </c>
      <c r="V61" t="n">
        <v>1.8</v>
      </c>
      <c r="W61" t="n">
        <v>1.4</v>
      </c>
      <c r="X61" t="n">
        <v>-2</v>
      </c>
      <c r="Y61" t="n">
        <v>-2</v>
      </c>
      <c r="Z61" t="n">
        <v>-2</v>
      </c>
      <c r="AA61" t="n">
        <v>-2</v>
      </c>
      <c r="AB61" t="n">
        <v>7</v>
      </c>
    </row>
    <row r="62">
      <c r="A62" t="inlineStr">
        <is>
          <t>20260516</t>
        </is>
      </c>
      <c r="B62" t="inlineStr">
        <is>
          <t>LRL</t>
        </is>
      </c>
      <c r="C62" t="n">
        <v>11</v>
      </c>
      <c r="D62" t="inlineStr">
        <is>
          <t>T</t>
        </is>
      </c>
      <c r="E62" t="n">
        <v>8.5</v>
      </c>
      <c r="F62" t="inlineStr">
        <is>
          <t>G3</t>
        </is>
      </c>
      <c r="G62" t="inlineStr">
        <is>
          <t>SLOW</t>
        </is>
      </c>
      <c r="H62" t="inlineStr">
        <is>
          <t>5</t>
        </is>
      </c>
      <c r="I62" t="inlineStr">
        <is>
          <t>SPEC</t>
        </is>
      </c>
      <c r="J62" t="n">
        <v>5.82</v>
      </c>
      <c r="K62" t="inlineStr">
        <is>
          <t>5</t>
        </is>
      </c>
      <c r="L62" t="inlineStr">
        <is>
          <t>A</t>
        </is>
      </c>
      <c r="M62" t="n">
        <v>8</v>
      </c>
      <c r="N62" t="n">
        <v>5</v>
      </c>
      <c r="O62" t="inlineStr">
        <is>
          <t>Y</t>
        </is>
      </c>
      <c r="P62" t="inlineStr">
        <is>
          <t>WARMING</t>
        </is>
      </c>
      <c r="Q62" t="n">
        <v>3</v>
      </c>
      <c r="R62" t="n">
        <v>7</v>
      </c>
      <c r="S62" t="n">
        <v>8.9</v>
      </c>
      <c r="T62" t="n">
        <v>0</v>
      </c>
      <c r="U62" t="n">
        <v>0</v>
      </c>
      <c r="V62" t="n">
        <v>3.5</v>
      </c>
      <c r="W62" t="n">
        <v>3.5</v>
      </c>
      <c r="X62" t="n">
        <v>-2</v>
      </c>
      <c r="Y62" t="n">
        <v>-2</v>
      </c>
      <c r="Z62" t="n">
        <v>-2</v>
      </c>
      <c r="AA62" t="n">
        <v>-2</v>
      </c>
      <c r="AB62" t="n">
        <v>8</v>
      </c>
    </row>
    <row r="63">
      <c r="A63" t="inlineStr">
        <is>
          <t>20260516</t>
        </is>
      </c>
      <c r="B63" t="inlineStr">
        <is>
          <t>LRL</t>
        </is>
      </c>
      <c r="C63" t="n">
        <v>12</v>
      </c>
      <c r="D63" t="inlineStr">
        <is>
          <t>T</t>
        </is>
      </c>
      <c r="E63" t="n">
        <v>5.5</v>
      </c>
      <c r="F63" t="inlineStr">
        <is>
          <t>N</t>
        </is>
      </c>
      <c r="G63" t="inlineStr">
        <is>
          <t>HOT</t>
        </is>
      </c>
      <c r="H63" t="inlineStr">
        <is>
          <t>1</t>
        </is>
      </c>
      <c r="I63" t="inlineStr">
        <is>
          <t>SPEC</t>
        </is>
      </c>
      <c r="J63" t="n">
        <v>5.98</v>
      </c>
      <c r="K63" t="inlineStr">
        <is>
          <t>1</t>
        </is>
      </c>
      <c r="L63" t="inlineStr">
        <is>
          <t>A</t>
        </is>
      </c>
      <c r="M63" t="n">
        <v>6</v>
      </c>
      <c r="N63" t="n">
        <v>4</v>
      </c>
      <c r="O63" t="inlineStr">
        <is>
          <t>Y</t>
        </is>
      </c>
      <c r="P63" t="inlineStr">
        <is>
          <t>CHASING LIBERTY</t>
        </is>
      </c>
      <c r="Q63" t="n">
        <v>3</v>
      </c>
      <c r="R63" t="n">
        <v>3</v>
      </c>
      <c r="S63" t="n">
        <v>3.6</v>
      </c>
      <c r="T63" t="n">
        <v>0</v>
      </c>
      <c r="U63" t="n">
        <v>0</v>
      </c>
      <c r="V63" t="n">
        <v>4</v>
      </c>
      <c r="W63" t="n">
        <v>4</v>
      </c>
      <c r="X63" t="n">
        <v>-2</v>
      </c>
      <c r="Y63" t="n">
        <v>-2</v>
      </c>
      <c r="Z63" t="n">
        <v>-2</v>
      </c>
      <c r="AA63" t="n">
        <v>-2</v>
      </c>
      <c r="AB63" t="n">
        <v>11</v>
      </c>
    </row>
    <row r="64">
      <c r="A64" t="inlineStr">
        <is>
          <t>20260516</t>
        </is>
      </c>
      <c r="B64" t="inlineStr">
        <is>
          <t>LRL</t>
        </is>
      </c>
      <c r="C64" t="n">
        <v>13</v>
      </c>
      <c r="D64" t="inlineStr">
        <is>
          <t>D</t>
        </is>
      </c>
      <c r="E64" t="n">
        <v>9.5</v>
      </c>
      <c r="F64" t="inlineStr">
        <is>
          <t>G1</t>
        </is>
      </c>
      <c r="G64" t="inlineStr">
        <is>
          <t>HOT</t>
        </is>
      </c>
      <c r="H64" t="inlineStr">
        <is>
          <t>1</t>
        </is>
      </c>
      <c r="I64" t="inlineStr">
        <is>
          <t>FAIR</t>
        </is>
      </c>
      <c r="J64" t="n">
        <v>6.82</v>
      </c>
      <c r="K64" t="inlineStr">
        <is>
          <t>1</t>
        </is>
      </c>
      <c r="L64" t="inlineStr">
        <is>
          <t>A</t>
        </is>
      </c>
      <c r="M64" t="n">
        <v>11</v>
      </c>
      <c r="N64" t="n">
        <v>6</v>
      </c>
      <c r="O64" t="inlineStr">
        <is>
          <t>Y</t>
        </is>
      </c>
      <c r="P64" t="inlineStr">
        <is>
          <t>NAPOLEON SOLO</t>
        </is>
      </c>
      <c r="Q64" t="n">
        <v>11</v>
      </c>
      <c r="R64" t="n">
        <v>4</v>
      </c>
      <c r="S64" t="n">
        <v>7.9</v>
      </c>
      <c r="T64" t="n">
        <v>0</v>
      </c>
      <c r="U64" t="n">
        <v>0</v>
      </c>
      <c r="V64" t="n">
        <v>5</v>
      </c>
      <c r="W64" t="n">
        <v>5</v>
      </c>
      <c r="X64" t="n">
        <v>-2</v>
      </c>
      <c r="Y64" t="n">
        <v>-2</v>
      </c>
      <c r="Z64" t="n">
        <v>-2</v>
      </c>
      <c r="AA64" t="n">
        <v>-2</v>
      </c>
      <c r="AB64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6" t="inlineStr">
        <is>
          <t>By Track</t>
        </is>
      </c>
    </row>
    <row r="2">
      <c r="A2" s="7" t="inlineStr">
        <is>
          <t>Group</t>
        </is>
      </c>
      <c r="B2" s="7" t="inlineStr">
        <is>
          <t>Races</t>
        </is>
      </c>
      <c r="C2" s="7" t="inlineStr">
        <is>
          <t>CM Wins</t>
        </is>
      </c>
      <c r="D2" s="7" t="inlineStr">
        <is>
          <t>CM Win%</t>
        </is>
      </c>
      <c r="E2" s="7" t="inlineStr">
        <is>
          <t>R5 Wins</t>
        </is>
      </c>
      <c r="F2" s="7" t="inlineStr">
        <is>
          <t>R5 Win%</t>
        </is>
      </c>
      <c r="G2" s="7" t="inlineStr">
        <is>
          <t>CM ROI(ML)%</t>
        </is>
      </c>
      <c r="H2" s="7" t="inlineStr">
        <is>
          <t>R5 ROI(ML)%</t>
        </is>
      </c>
      <c r="I2" s="7" t="inlineStr">
        <is>
          <t>CM ROI(SP)%</t>
        </is>
      </c>
      <c r="J2" s="7" t="inlineStr">
        <is>
          <t>R5 ROI(SP)%</t>
        </is>
      </c>
      <c r="K2" s="7" t="inlineStr">
        <is>
          <t>Agreement%</t>
        </is>
      </c>
    </row>
    <row r="3">
      <c r="A3" t="inlineStr">
        <is>
          <t>BAQ</t>
        </is>
      </c>
      <c r="B3">
        <f>COUNTIF('Race by Race'!B$2:B$64,"BAQ")</f>
        <v/>
      </c>
      <c r="C3">
        <f>COUNTIFS('Race by Race'!B$2:B$64,"BAQ",'Race by Race'!U$2:U$64,1)</f>
        <v/>
      </c>
      <c r="D3">
        <f>IF(COUNTIF('Race by Race'!B$2:B$64,"BAQ")=0,"",COUNTIFS('Race by Race'!B$2:B$64,"BAQ",'Race by Race'!U$2:U$64,1)/COUNTIF('Race by Race'!B$2:B$64,"BAQ")*100)</f>
        <v/>
      </c>
      <c r="E3">
        <f>COUNTIFS('Race by Race'!B$2:B$64,"BAQ",'Race by Race'!T$2:T$64,1)</f>
        <v/>
      </c>
      <c r="F3">
        <f>IF(COUNTIF('Race by Race'!B$2:B$64,"BAQ")=0,"",COUNTIFS('Race by Race'!B$2:B$64,"BAQ",'Race by Race'!T$2:T$64,1)/COUNTIF('Race by Race'!B$2:B$64,"BAQ")*100)</f>
        <v/>
      </c>
      <c r="G3">
        <f>IF(COUNTIF('Race by Race'!B$2:B$64,"BAQ")=0,"",SUMIF('Race by Race'!B$2:B$64,"BAQ",'Race by Race'!Y$2:Y$64)/(COUNTIF('Race by Race'!B$2:B$64,"BAQ")*2)*100)</f>
        <v/>
      </c>
      <c r="H3">
        <f>IF(COUNTIF('Race by Race'!B$2:B$64,"BAQ")=0,"",SUMIF('Race by Race'!B$2:B$64,"BAQ",'Race by Race'!X$2:X$64)/(COUNTIF('Race by Race'!B$2:B$64,"BAQ")*2)*100)</f>
        <v/>
      </c>
      <c r="I3">
        <f>IF(COUNTIF('Race by Race'!B$2:B$64,"BAQ")=0,"",SUMIF('Race by Race'!B$2:B$64,"BAQ",'Race by Race'!AA$2:AA$64)/(COUNTIF('Race by Race'!B$2:B$64,"BAQ")*2)*100)</f>
        <v/>
      </c>
      <c r="J3">
        <f>IF(COUNTIF('Race by Race'!B$2:B$64,"BAQ")=0,"",SUMIF('Race by Race'!B$2:B$64,"BAQ",'Race by Race'!Z$2:Z$64)/(COUNTIF('Race by Race'!B$2:B$64,"BAQ")*2)*100)</f>
        <v/>
      </c>
      <c r="K3">
        <f>IF(COUNTIF('Race by Race'!B$2:B$64,"BAQ")=0,"",COUNTIFS('Race by Race'!B$2:B$64,"BAQ",'Race by Race'!O$2:O$64,"Y")/COUNTIF('Race by Race'!B$2:B$64,"BAQ")*100)</f>
        <v/>
      </c>
    </row>
    <row r="4">
      <c r="A4" t="inlineStr">
        <is>
          <t>CDX</t>
        </is>
      </c>
      <c r="B4">
        <f>COUNTIF('Race by Race'!B$2:B$64,"CDX")</f>
        <v/>
      </c>
      <c r="C4">
        <f>COUNTIFS('Race by Race'!B$2:B$64,"CDX",'Race by Race'!U$2:U$64,1)</f>
        <v/>
      </c>
      <c r="D4">
        <f>IF(COUNTIF('Race by Race'!B$2:B$64,"CDX")=0,"",COUNTIFS('Race by Race'!B$2:B$64,"CDX",'Race by Race'!U$2:U$64,1)/COUNTIF('Race by Race'!B$2:B$64,"CDX")*100)</f>
        <v/>
      </c>
      <c r="E4">
        <f>COUNTIFS('Race by Race'!B$2:B$64,"CDX",'Race by Race'!T$2:T$64,1)</f>
        <v/>
      </c>
      <c r="F4">
        <f>IF(COUNTIF('Race by Race'!B$2:B$64,"CDX")=0,"",COUNTIFS('Race by Race'!B$2:B$64,"CDX",'Race by Race'!T$2:T$64,1)/COUNTIF('Race by Race'!B$2:B$64,"CDX")*100)</f>
        <v/>
      </c>
      <c r="G4">
        <f>IF(COUNTIF('Race by Race'!B$2:B$64,"CDX")=0,"",SUMIF('Race by Race'!B$2:B$64,"CDX",'Race by Race'!Y$2:Y$64)/(COUNTIF('Race by Race'!B$2:B$64,"CDX")*2)*100)</f>
        <v/>
      </c>
      <c r="H4">
        <f>IF(COUNTIF('Race by Race'!B$2:B$64,"CDX")=0,"",SUMIF('Race by Race'!B$2:B$64,"CDX",'Race by Race'!X$2:X$64)/(COUNTIF('Race by Race'!B$2:B$64,"CDX")*2)*100)</f>
        <v/>
      </c>
      <c r="I4">
        <f>IF(COUNTIF('Race by Race'!B$2:B$64,"CDX")=0,"",SUMIF('Race by Race'!B$2:B$64,"CDX",'Race by Race'!AA$2:AA$64)/(COUNTIF('Race by Race'!B$2:B$64,"CDX")*2)*100)</f>
        <v/>
      </c>
      <c r="J4">
        <f>IF(COUNTIF('Race by Race'!B$2:B$64,"CDX")=0,"",SUMIF('Race by Race'!B$2:B$64,"CDX",'Race by Race'!Z$2:Z$64)/(COUNTIF('Race by Race'!B$2:B$64,"CDX")*2)*100)</f>
        <v/>
      </c>
      <c r="K4">
        <f>IF(COUNTIF('Race by Race'!B$2:B$64,"CDX")=0,"",COUNTIFS('Race by Race'!B$2:B$64,"CDX",'Race by Race'!O$2:O$64,"Y")/COUNTIF('Race by Race'!B$2:B$64,"CDX")*100)</f>
        <v/>
      </c>
    </row>
    <row r="5">
      <c r="A5" t="inlineStr">
        <is>
          <t>DBY</t>
        </is>
      </c>
      <c r="B5">
        <f>COUNTIF('Race by Race'!B$2:B$64,"DBY")</f>
        <v/>
      </c>
      <c r="C5">
        <f>COUNTIFS('Race by Race'!B$2:B$64,"DBY",'Race by Race'!U$2:U$64,1)</f>
        <v/>
      </c>
      <c r="D5">
        <f>IF(COUNTIF('Race by Race'!B$2:B$64,"DBY")=0,"",COUNTIFS('Race by Race'!B$2:B$64,"DBY",'Race by Race'!U$2:U$64,1)/COUNTIF('Race by Race'!B$2:B$64,"DBY")*100)</f>
        <v/>
      </c>
      <c r="E5">
        <f>COUNTIFS('Race by Race'!B$2:B$64,"DBY",'Race by Race'!T$2:T$64,1)</f>
        <v/>
      </c>
      <c r="F5">
        <f>IF(COUNTIF('Race by Race'!B$2:B$64,"DBY")=0,"",COUNTIFS('Race by Race'!B$2:B$64,"DBY",'Race by Race'!T$2:T$64,1)/COUNTIF('Race by Race'!B$2:B$64,"DBY")*100)</f>
        <v/>
      </c>
      <c r="G5">
        <f>IF(COUNTIF('Race by Race'!B$2:B$64,"DBY")=0,"",SUMIF('Race by Race'!B$2:B$64,"DBY",'Race by Race'!Y$2:Y$64)/(COUNTIF('Race by Race'!B$2:B$64,"DBY")*2)*100)</f>
        <v/>
      </c>
      <c r="H5">
        <f>IF(COUNTIF('Race by Race'!B$2:B$64,"DBY")=0,"",SUMIF('Race by Race'!B$2:B$64,"DBY",'Race by Race'!X$2:X$64)/(COUNTIF('Race by Race'!B$2:B$64,"DBY")*2)*100)</f>
        <v/>
      </c>
      <c r="I5">
        <f>IF(COUNTIF('Race by Race'!B$2:B$64,"DBY")=0,"",SUMIF('Race by Race'!B$2:B$64,"DBY",'Race by Race'!AA$2:AA$64)/(COUNTIF('Race by Race'!B$2:B$64,"DBY")*2)*100)</f>
        <v/>
      </c>
      <c r="J5">
        <f>IF(COUNTIF('Race by Race'!B$2:B$64,"DBY")=0,"",SUMIF('Race by Race'!B$2:B$64,"DBY",'Race by Race'!Z$2:Z$64)/(COUNTIF('Race by Race'!B$2:B$64,"DBY")*2)*100)</f>
        <v/>
      </c>
      <c r="K5">
        <f>IF(COUNTIF('Race by Race'!B$2:B$64,"DBY")=0,"",COUNTIFS('Race by Race'!B$2:B$64,"DBY",'Race by Race'!O$2:O$64,"Y")/COUNTIF('Race by Race'!B$2:B$64,"DBY")*100)</f>
        <v/>
      </c>
    </row>
    <row r="6">
      <c r="A6" t="inlineStr">
        <is>
          <t>LRL</t>
        </is>
      </c>
      <c r="B6">
        <f>COUNTIF('Race by Race'!B$2:B$64,"LRL")</f>
        <v/>
      </c>
      <c r="C6">
        <f>COUNTIFS('Race by Race'!B$2:B$64,"LRL",'Race by Race'!U$2:U$64,1)</f>
        <v/>
      </c>
      <c r="D6">
        <f>IF(COUNTIF('Race by Race'!B$2:B$64,"LRL")=0,"",COUNTIFS('Race by Race'!B$2:B$64,"LRL",'Race by Race'!U$2:U$64,1)/COUNTIF('Race by Race'!B$2:B$64,"LRL")*100)</f>
        <v/>
      </c>
      <c r="E6">
        <f>COUNTIFS('Race by Race'!B$2:B$64,"LRL",'Race by Race'!T$2:T$64,1)</f>
        <v/>
      </c>
      <c r="F6">
        <f>IF(COUNTIF('Race by Race'!B$2:B$64,"LRL")=0,"",COUNTIFS('Race by Race'!B$2:B$64,"LRL",'Race by Race'!T$2:T$64,1)/COUNTIF('Race by Race'!B$2:B$64,"LRL")*100)</f>
        <v/>
      </c>
      <c r="G6">
        <f>IF(COUNTIF('Race by Race'!B$2:B$64,"LRL")=0,"",SUMIF('Race by Race'!B$2:B$64,"LRL",'Race by Race'!Y$2:Y$64)/(COUNTIF('Race by Race'!B$2:B$64,"LRL")*2)*100)</f>
        <v/>
      </c>
      <c r="H6">
        <f>IF(COUNTIF('Race by Race'!B$2:B$64,"LRL")=0,"",SUMIF('Race by Race'!B$2:B$64,"LRL",'Race by Race'!X$2:X$64)/(COUNTIF('Race by Race'!B$2:B$64,"LRL")*2)*100)</f>
        <v/>
      </c>
      <c r="I6">
        <f>IF(COUNTIF('Race by Race'!B$2:B$64,"LRL")=0,"",SUMIF('Race by Race'!B$2:B$64,"LRL",'Race by Race'!AA$2:AA$64)/(COUNTIF('Race by Race'!B$2:B$64,"LRL")*2)*100)</f>
        <v/>
      </c>
      <c r="J6">
        <f>IF(COUNTIF('Race by Race'!B$2:B$64,"LRL")=0,"",SUMIF('Race by Race'!B$2:B$64,"LRL",'Race by Race'!Z$2:Z$64)/(COUNTIF('Race by Race'!B$2:B$64,"LRL")*2)*100)</f>
        <v/>
      </c>
      <c r="K6">
        <f>IF(COUNTIF('Race by Race'!B$2:B$64,"LRL")=0,"",COUNTIFS('Race by Race'!B$2:B$64,"LRL",'Race by Race'!O$2:O$64,"Y")/COUNTIF('Race by Race'!B$2:B$64,"LRL")*100)</f>
        <v/>
      </c>
    </row>
    <row r="8">
      <c r="A8" s="6" t="inlineStr">
        <is>
          <t>By Surface</t>
        </is>
      </c>
    </row>
    <row r="9">
      <c r="A9" s="7" t="inlineStr">
        <is>
          <t>Group</t>
        </is>
      </c>
      <c r="B9" s="7" t="inlineStr">
        <is>
          <t>Races</t>
        </is>
      </c>
      <c r="C9" s="7" t="inlineStr">
        <is>
          <t>CM Wins</t>
        </is>
      </c>
      <c r="D9" s="7" t="inlineStr">
        <is>
          <t>CM Win%</t>
        </is>
      </c>
      <c r="E9" s="7" t="inlineStr">
        <is>
          <t>R5 Wins</t>
        </is>
      </c>
      <c r="F9" s="7" t="inlineStr">
        <is>
          <t>R5 Win%</t>
        </is>
      </c>
      <c r="G9" s="7" t="inlineStr">
        <is>
          <t>CM ROI(ML)%</t>
        </is>
      </c>
      <c r="H9" s="7" t="inlineStr">
        <is>
          <t>R5 ROI(ML)%</t>
        </is>
      </c>
      <c r="I9" s="7" t="inlineStr">
        <is>
          <t>CM ROI(SP)%</t>
        </is>
      </c>
      <c r="J9" s="7" t="inlineStr">
        <is>
          <t>R5 ROI(SP)%</t>
        </is>
      </c>
      <c r="K9" s="7" t="inlineStr">
        <is>
          <t>Agreement%</t>
        </is>
      </c>
    </row>
    <row r="10">
      <c r="A10" t="inlineStr">
        <is>
          <t>D</t>
        </is>
      </c>
      <c r="B10">
        <f>COUNTIF('Race by Race'!D$2:D$64,"D")</f>
        <v/>
      </c>
      <c r="C10">
        <f>COUNTIFS('Race by Race'!D$2:D$64,"D",'Race by Race'!U$2:U$64,1)</f>
        <v/>
      </c>
      <c r="D10">
        <f>IF(COUNTIF('Race by Race'!D$2:D$64,"D")=0,"",COUNTIFS('Race by Race'!D$2:D$64,"D",'Race by Race'!U$2:U$64,1)/COUNTIF('Race by Race'!D$2:D$64,"D")*100)</f>
        <v/>
      </c>
      <c r="E10">
        <f>COUNTIFS('Race by Race'!D$2:D$64,"D",'Race by Race'!T$2:T$64,1)</f>
        <v/>
      </c>
      <c r="F10">
        <f>IF(COUNTIF('Race by Race'!D$2:D$64,"D")=0,"",COUNTIFS('Race by Race'!D$2:D$64,"D",'Race by Race'!T$2:T$64,1)/COUNTIF('Race by Race'!D$2:D$64,"D")*100)</f>
        <v/>
      </c>
      <c r="G10">
        <f>IF(COUNTIF('Race by Race'!D$2:D$64,"D")=0,"",SUMIF('Race by Race'!D$2:D$64,"D",'Race by Race'!Y$2:Y$64)/(COUNTIF('Race by Race'!D$2:D$64,"D")*2)*100)</f>
        <v/>
      </c>
      <c r="H10">
        <f>IF(COUNTIF('Race by Race'!D$2:D$64,"D")=0,"",SUMIF('Race by Race'!D$2:D$64,"D",'Race by Race'!X$2:X$64)/(COUNTIF('Race by Race'!D$2:D$64,"D")*2)*100)</f>
        <v/>
      </c>
      <c r="I10">
        <f>IF(COUNTIF('Race by Race'!D$2:D$64,"D")=0,"",SUMIF('Race by Race'!D$2:D$64,"D",'Race by Race'!AA$2:AA$64)/(COUNTIF('Race by Race'!D$2:D$64,"D")*2)*100)</f>
        <v/>
      </c>
      <c r="J10">
        <f>IF(COUNTIF('Race by Race'!D$2:D$64,"D")=0,"",SUMIF('Race by Race'!D$2:D$64,"D",'Race by Race'!Z$2:Z$64)/(COUNTIF('Race by Race'!D$2:D$64,"D")*2)*100)</f>
        <v/>
      </c>
      <c r="K10">
        <f>IF(COUNTIF('Race by Race'!D$2:D$64,"D")=0,"",COUNTIFS('Race by Race'!D$2:D$64,"D",'Race by Race'!O$2:O$64,"Y")/COUNTIF('Race by Race'!D$2:D$64,"D")*100)</f>
        <v/>
      </c>
    </row>
    <row r="11">
      <c r="A11" t="inlineStr">
        <is>
          <t>T</t>
        </is>
      </c>
      <c r="B11">
        <f>COUNTIF('Race by Race'!D$2:D$64,"T")</f>
        <v/>
      </c>
      <c r="C11">
        <f>COUNTIFS('Race by Race'!D$2:D$64,"T",'Race by Race'!U$2:U$64,1)</f>
        <v/>
      </c>
      <c r="D11">
        <f>IF(COUNTIF('Race by Race'!D$2:D$64,"T")=0,"",COUNTIFS('Race by Race'!D$2:D$64,"T",'Race by Race'!U$2:U$64,1)/COUNTIF('Race by Race'!D$2:D$64,"T")*100)</f>
        <v/>
      </c>
      <c r="E11">
        <f>COUNTIFS('Race by Race'!D$2:D$64,"T",'Race by Race'!T$2:T$64,1)</f>
        <v/>
      </c>
      <c r="F11">
        <f>IF(COUNTIF('Race by Race'!D$2:D$64,"T")=0,"",COUNTIFS('Race by Race'!D$2:D$64,"T",'Race by Race'!T$2:T$64,1)/COUNTIF('Race by Race'!D$2:D$64,"T")*100)</f>
        <v/>
      </c>
      <c r="G11">
        <f>IF(COUNTIF('Race by Race'!D$2:D$64,"T")=0,"",SUMIF('Race by Race'!D$2:D$64,"T",'Race by Race'!Y$2:Y$64)/(COUNTIF('Race by Race'!D$2:D$64,"T")*2)*100)</f>
        <v/>
      </c>
      <c r="H11">
        <f>IF(COUNTIF('Race by Race'!D$2:D$64,"T")=0,"",SUMIF('Race by Race'!D$2:D$64,"T",'Race by Race'!X$2:X$64)/(COUNTIF('Race by Race'!D$2:D$64,"T")*2)*100)</f>
        <v/>
      </c>
      <c r="I11">
        <f>IF(COUNTIF('Race by Race'!D$2:D$64,"T")=0,"",SUMIF('Race by Race'!D$2:D$64,"T",'Race by Race'!AA$2:AA$64)/(COUNTIF('Race by Race'!D$2:D$64,"T")*2)*100)</f>
        <v/>
      </c>
      <c r="J11">
        <f>IF(COUNTIF('Race by Race'!D$2:D$64,"T")=0,"",SUMIF('Race by Race'!D$2:D$64,"T",'Race by Race'!Z$2:Z$64)/(COUNTIF('Race by Race'!D$2:D$64,"T")*2)*100)</f>
        <v/>
      </c>
      <c r="K11">
        <f>IF(COUNTIF('Race by Race'!D$2:D$64,"T")=0,"",COUNTIFS('Race by Race'!D$2:D$64,"T",'Race by Race'!O$2:O$64,"Y")/COUNTIF('Race by Race'!D$2:D$64,"T")*100)</f>
        <v/>
      </c>
    </row>
    <row r="12">
      <c r="A12" t="inlineStr">
        <is>
          <t>t</t>
        </is>
      </c>
      <c r="B12">
        <f>COUNTIF('Race by Race'!D$2:D$64,"t")</f>
        <v/>
      </c>
      <c r="C12">
        <f>COUNTIFS('Race by Race'!D$2:D$64,"t",'Race by Race'!U$2:U$64,1)</f>
        <v/>
      </c>
      <c r="D12">
        <f>IF(COUNTIF('Race by Race'!D$2:D$64,"t")=0,"",COUNTIFS('Race by Race'!D$2:D$64,"t",'Race by Race'!U$2:U$64,1)/COUNTIF('Race by Race'!D$2:D$64,"t")*100)</f>
        <v/>
      </c>
      <c r="E12">
        <f>COUNTIFS('Race by Race'!D$2:D$64,"t",'Race by Race'!T$2:T$64,1)</f>
        <v/>
      </c>
      <c r="F12">
        <f>IF(COUNTIF('Race by Race'!D$2:D$64,"t")=0,"",COUNTIFS('Race by Race'!D$2:D$64,"t",'Race by Race'!T$2:T$64,1)/COUNTIF('Race by Race'!D$2:D$64,"t")*100)</f>
        <v/>
      </c>
      <c r="G12">
        <f>IF(COUNTIF('Race by Race'!D$2:D$64,"t")=0,"",SUMIF('Race by Race'!D$2:D$64,"t",'Race by Race'!Y$2:Y$64)/(COUNTIF('Race by Race'!D$2:D$64,"t")*2)*100)</f>
        <v/>
      </c>
      <c r="H12">
        <f>IF(COUNTIF('Race by Race'!D$2:D$64,"t")=0,"",SUMIF('Race by Race'!D$2:D$64,"t",'Race by Race'!X$2:X$64)/(COUNTIF('Race by Race'!D$2:D$64,"t")*2)*100)</f>
        <v/>
      </c>
      <c r="I12">
        <f>IF(COUNTIF('Race by Race'!D$2:D$64,"t")=0,"",SUMIF('Race by Race'!D$2:D$64,"t",'Race by Race'!AA$2:AA$64)/(COUNTIF('Race by Race'!D$2:D$64,"t")*2)*100)</f>
        <v/>
      </c>
      <c r="J12">
        <f>IF(COUNTIF('Race by Race'!D$2:D$64,"t")=0,"",SUMIF('Race by Race'!D$2:D$64,"t",'Race by Race'!Z$2:Z$64)/(COUNTIF('Race by Race'!D$2:D$64,"t")*2)*100)</f>
        <v/>
      </c>
      <c r="K12">
        <f>IF(COUNTIF('Race by Race'!D$2:D$64,"t")=0,"",COUNTIFS('Race by Race'!D$2:D$64,"t",'Race by Race'!O$2:O$64,"Y")/COUNTIF('Race by Race'!D$2:D$64,"t")*100)</f>
        <v/>
      </c>
    </row>
    <row r="14">
      <c r="A14" s="6" t="inlineStr">
        <is>
          <t>By Race Type</t>
        </is>
      </c>
    </row>
    <row r="15">
      <c r="A15" s="7" t="inlineStr">
        <is>
          <t>Group</t>
        </is>
      </c>
      <c r="B15" s="7" t="inlineStr">
        <is>
          <t>Races</t>
        </is>
      </c>
      <c r="C15" s="7" t="inlineStr">
        <is>
          <t>CM Wins</t>
        </is>
      </c>
      <c r="D15" s="7" t="inlineStr">
        <is>
          <t>CM Win%</t>
        </is>
      </c>
      <c r="E15" s="7" t="inlineStr">
        <is>
          <t>R5 Wins</t>
        </is>
      </c>
      <c r="F15" s="7" t="inlineStr">
        <is>
          <t>R5 Win%</t>
        </is>
      </c>
      <c r="G15" s="7" t="inlineStr">
        <is>
          <t>CM ROI(ML)%</t>
        </is>
      </c>
      <c r="H15" s="7" t="inlineStr">
        <is>
          <t>R5 ROI(ML)%</t>
        </is>
      </c>
      <c r="I15" s="7" t="inlineStr">
        <is>
          <t>CM ROI(SP)%</t>
        </is>
      </c>
      <c r="J15" s="7" t="inlineStr">
        <is>
          <t>R5 ROI(SP)%</t>
        </is>
      </c>
      <c r="K15" s="7" t="inlineStr">
        <is>
          <t>Agreement%</t>
        </is>
      </c>
    </row>
    <row r="16">
      <c r="A16" t="inlineStr">
        <is>
          <t>A</t>
        </is>
      </c>
      <c r="B16">
        <f>COUNTIF('Race by Race'!F$2:F$64,"A")</f>
        <v/>
      </c>
      <c r="C16">
        <f>COUNTIFS('Race by Race'!F$2:F$64,"A",'Race by Race'!U$2:U$64,1)</f>
        <v/>
      </c>
      <c r="D16">
        <f>IF(COUNTIF('Race by Race'!F$2:F$64,"A")=0,"",COUNTIFS('Race by Race'!F$2:F$64,"A",'Race by Race'!U$2:U$64,1)/COUNTIF('Race by Race'!F$2:F$64,"A")*100)</f>
        <v/>
      </c>
      <c r="E16">
        <f>COUNTIFS('Race by Race'!F$2:F$64,"A",'Race by Race'!T$2:T$64,1)</f>
        <v/>
      </c>
      <c r="F16">
        <f>IF(COUNTIF('Race by Race'!F$2:F$64,"A")=0,"",COUNTIFS('Race by Race'!F$2:F$64,"A",'Race by Race'!T$2:T$64,1)/COUNTIF('Race by Race'!F$2:F$64,"A")*100)</f>
        <v/>
      </c>
      <c r="G16">
        <f>IF(COUNTIF('Race by Race'!F$2:F$64,"A")=0,"",SUMIF('Race by Race'!F$2:F$64,"A",'Race by Race'!Y$2:Y$64)/(COUNTIF('Race by Race'!F$2:F$64,"A")*2)*100)</f>
        <v/>
      </c>
      <c r="H16">
        <f>IF(COUNTIF('Race by Race'!F$2:F$64,"A")=0,"",SUMIF('Race by Race'!F$2:F$64,"A",'Race by Race'!X$2:X$64)/(COUNTIF('Race by Race'!F$2:F$64,"A")*2)*100)</f>
        <v/>
      </c>
      <c r="I16">
        <f>IF(COUNTIF('Race by Race'!F$2:F$64,"A")=0,"",SUMIF('Race by Race'!F$2:F$64,"A",'Race by Race'!AA$2:AA$64)/(COUNTIF('Race by Race'!F$2:F$64,"A")*2)*100)</f>
        <v/>
      </c>
      <c r="J16">
        <f>IF(COUNTIF('Race by Race'!F$2:F$64,"A")=0,"",SUMIF('Race by Race'!F$2:F$64,"A",'Race by Race'!Z$2:Z$64)/(COUNTIF('Race by Race'!F$2:F$64,"A")*2)*100)</f>
        <v/>
      </c>
      <c r="K16">
        <f>IF(COUNTIF('Race by Race'!F$2:F$64,"A")=0,"",COUNTIFS('Race by Race'!F$2:F$64,"A",'Race by Race'!O$2:O$64,"Y")/COUNTIF('Race by Race'!F$2:F$64,"A")*100)</f>
        <v/>
      </c>
    </row>
    <row r="17">
      <c r="A17" t="inlineStr">
        <is>
          <t>AO</t>
        </is>
      </c>
      <c r="B17">
        <f>COUNTIF('Race by Race'!F$2:F$64,"AO")</f>
        <v/>
      </c>
      <c r="C17">
        <f>COUNTIFS('Race by Race'!F$2:F$64,"AO",'Race by Race'!U$2:U$64,1)</f>
        <v/>
      </c>
      <c r="D17">
        <f>IF(COUNTIF('Race by Race'!F$2:F$64,"AO")=0,"",COUNTIFS('Race by Race'!F$2:F$64,"AO",'Race by Race'!U$2:U$64,1)/COUNTIF('Race by Race'!F$2:F$64,"AO")*100)</f>
        <v/>
      </c>
      <c r="E17">
        <f>COUNTIFS('Race by Race'!F$2:F$64,"AO",'Race by Race'!T$2:T$64,1)</f>
        <v/>
      </c>
      <c r="F17">
        <f>IF(COUNTIF('Race by Race'!F$2:F$64,"AO")=0,"",COUNTIFS('Race by Race'!F$2:F$64,"AO",'Race by Race'!T$2:T$64,1)/COUNTIF('Race by Race'!F$2:F$64,"AO")*100)</f>
        <v/>
      </c>
      <c r="G17">
        <f>IF(COUNTIF('Race by Race'!F$2:F$64,"AO")=0,"",SUMIF('Race by Race'!F$2:F$64,"AO",'Race by Race'!Y$2:Y$64)/(COUNTIF('Race by Race'!F$2:F$64,"AO")*2)*100)</f>
        <v/>
      </c>
      <c r="H17">
        <f>IF(COUNTIF('Race by Race'!F$2:F$64,"AO")=0,"",SUMIF('Race by Race'!F$2:F$64,"AO",'Race by Race'!X$2:X$64)/(COUNTIF('Race by Race'!F$2:F$64,"AO")*2)*100)</f>
        <v/>
      </c>
      <c r="I17">
        <f>IF(COUNTIF('Race by Race'!F$2:F$64,"AO")=0,"",SUMIF('Race by Race'!F$2:F$64,"AO",'Race by Race'!AA$2:AA$64)/(COUNTIF('Race by Race'!F$2:F$64,"AO")*2)*100)</f>
        <v/>
      </c>
      <c r="J17">
        <f>IF(COUNTIF('Race by Race'!F$2:F$64,"AO")=0,"",SUMIF('Race by Race'!F$2:F$64,"AO",'Race by Race'!Z$2:Z$64)/(COUNTIF('Race by Race'!F$2:F$64,"AO")*2)*100)</f>
        <v/>
      </c>
      <c r="K17">
        <f>IF(COUNTIF('Race by Race'!F$2:F$64,"AO")=0,"",COUNTIFS('Race by Race'!F$2:F$64,"AO",'Race by Race'!O$2:O$64,"Y")/COUNTIF('Race by Race'!F$2:F$64,"AO")*100)</f>
        <v/>
      </c>
    </row>
    <row r="18">
      <c r="A18" t="inlineStr">
        <is>
          <t>C</t>
        </is>
      </c>
      <c r="B18">
        <f>COUNTIF('Race by Race'!F$2:F$64,"C")</f>
        <v/>
      </c>
      <c r="C18">
        <f>COUNTIFS('Race by Race'!F$2:F$64,"C",'Race by Race'!U$2:U$64,1)</f>
        <v/>
      </c>
      <c r="D18">
        <f>IF(COUNTIF('Race by Race'!F$2:F$64,"C")=0,"",COUNTIFS('Race by Race'!F$2:F$64,"C",'Race by Race'!U$2:U$64,1)/COUNTIF('Race by Race'!F$2:F$64,"C")*100)</f>
        <v/>
      </c>
      <c r="E18">
        <f>COUNTIFS('Race by Race'!F$2:F$64,"C",'Race by Race'!T$2:T$64,1)</f>
        <v/>
      </c>
      <c r="F18">
        <f>IF(COUNTIF('Race by Race'!F$2:F$64,"C")=0,"",COUNTIFS('Race by Race'!F$2:F$64,"C",'Race by Race'!T$2:T$64,1)/COUNTIF('Race by Race'!F$2:F$64,"C")*100)</f>
        <v/>
      </c>
      <c r="G18">
        <f>IF(COUNTIF('Race by Race'!F$2:F$64,"C")=0,"",SUMIF('Race by Race'!F$2:F$64,"C",'Race by Race'!Y$2:Y$64)/(COUNTIF('Race by Race'!F$2:F$64,"C")*2)*100)</f>
        <v/>
      </c>
      <c r="H18">
        <f>IF(COUNTIF('Race by Race'!F$2:F$64,"C")=0,"",SUMIF('Race by Race'!F$2:F$64,"C",'Race by Race'!X$2:X$64)/(COUNTIF('Race by Race'!F$2:F$64,"C")*2)*100)</f>
        <v/>
      </c>
      <c r="I18">
        <f>IF(COUNTIF('Race by Race'!F$2:F$64,"C")=0,"",SUMIF('Race by Race'!F$2:F$64,"C",'Race by Race'!AA$2:AA$64)/(COUNTIF('Race by Race'!F$2:F$64,"C")*2)*100)</f>
        <v/>
      </c>
      <c r="J18">
        <f>IF(COUNTIF('Race by Race'!F$2:F$64,"C")=0,"",SUMIF('Race by Race'!F$2:F$64,"C",'Race by Race'!Z$2:Z$64)/(COUNTIF('Race by Race'!F$2:F$64,"C")*2)*100)</f>
        <v/>
      </c>
      <c r="K18">
        <f>IF(COUNTIF('Race by Race'!F$2:F$64,"C")=0,"",COUNTIFS('Race by Race'!F$2:F$64,"C",'Race by Race'!O$2:O$64,"Y")/COUNTIF('Race by Race'!F$2:F$64,"C")*100)</f>
        <v/>
      </c>
    </row>
    <row r="19">
      <c r="A19" t="inlineStr">
        <is>
          <t>G1</t>
        </is>
      </c>
      <c r="B19">
        <f>COUNTIF('Race by Race'!F$2:F$64,"G1")</f>
        <v/>
      </c>
      <c r="C19">
        <f>COUNTIFS('Race by Race'!F$2:F$64,"G1",'Race by Race'!U$2:U$64,1)</f>
        <v/>
      </c>
      <c r="D19">
        <f>IF(COUNTIF('Race by Race'!F$2:F$64,"G1")=0,"",COUNTIFS('Race by Race'!F$2:F$64,"G1",'Race by Race'!U$2:U$64,1)/COUNTIF('Race by Race'!F$2:F$64,"G1")*100)</f>
        <v/>
      </c>
      <c r="E19">
        <f>COUNTIFS('Race by Race'!F$2:F$64,"G1",'Race by Race'!T$2:T$64,1)</f>
        <v/>
      </c>
      <c r="F19">
        <f>IF(COUNTIF('Race by Race'!F$2:F$64,"G1")=0,"",COUNTIFS('Race by Race'!F$2:F$64,"G1",'Race by Race'!T$2:T$64,1)/COUNTIF('Race by Race'!F$2:F$64,"G1")*100)</f>
        <v/>
      </c>
      <c r="G19">
        <f>IF(COUNTIF('Race by Race'!F$2:F$64,"G1")=0,"",SUMIF('Race by Race'!F$2:F$64,"G1",'Race by Race'!Y$2:Y$64)/(COUNTIF('Race by Race'!F$2:F$64,"G1")*2)*100)</f>
        <v/>
      </c>
      <c r="H19">
        <f>IF(COUNTIF('Race by Race'!F$2:F$64,"G1")=0,"",SUMIF('Race by Race'!F$2:F$64,"G1",'Race by Race'!X$2:X$64)/(COUNTIF('Race by Race'!F$2:F$64,"G1")*2)*100)</f>
        <v/>
      </c>
      <c r="I19">
        <f>IF(COUNTIF('Race by Race'!F$2:F$64,"G1")=0,"",SUMIF('Race by Race'!F$2:F$64,"G1",'Race by Race'!AA$2:AA$64)/(COUNTIF('Race by Race'!F$2:F$64,"G1")*2)*100)</f>
        <v/>
      </c>
      <c r="J19">
        <f>IF(COUNTIF('Race by Race'!F$2:F$64,"G1")=0,"",SUMIF('Race by Race'!F$2:F$64,"G1",'Race by Race'!Z$2:Z$64)/(COUNTIF('Race by Race'!F$2:F$64,"G1")*2)*100)</f>
        <v/>
      </c>
      <c r="K19">
        <f>IF(COUNTIF('Race by Race'!F$2:F$64,"G1")=0,"",COUNTIFS('Race by Race'!F$2:F$64,"G1",'Race by Race'!O$2:O$64,"Y")/COUNTIF('Race by Race'!F$2:F$64,"G1")*100)</f>
        <v/>
      </c>
    </row>
    <row r="20">
      <c r="A20" t="inlineStr">
        <is>
          <t>G2</t>
        </is>
      </c>
      <c r="B20">
        <f>COUNTIF('Race by Race'!F$2:F$64,"G2")</f>
        <v/>
      </c>
      <c r="C20">
        <f>COUNTIFS('Race by Race'!F$2:F$64,"G2",'Race by Race'!U$2:U$64,1)</f>
        <v/>
      </c>
      <c r="D20">
        <f>IF(COUNTIF('Race by Race'!F$2:F$64,"G2")=0,"",COUNTIFS('Race by Race'!F$2:F$64,"G2",'Race by Race'!U$2:U$64,1)/COUNTIF('Race by Race'!F$2:F$64,"G2")*100)</f>
        <v/>
      </c>
      <c r="E20">
        <f>COUNTIFS('Race by Race'!F$2:F$64,"G2",'Race by Race'!T$2:T$64,1)</f>
        <v/>
      </c>
      <c r="F20">
        <f>IF(COUNTIF('Race by Race'!F$2:F$64,"G2")=0,"",COUNTIFS('Race by Race'!F$2:F$64,"G2",'Race by Race'!T$2:T$64,1)/COUNTIF('Race by Race'!F$2:F$64,"G2")*100)</f>
        <v/>
      </c>
      <c r="G20">
        <f>IF(COUNTIF('Race by Race'!F$2:F$64,"G2")=0,"",SUMIF('Race by Race'!F$2:F$64,"G2",'Race by Race'!Y$2:Y$64)/(COUNTIF('Race by Race'!F$2:F$64,"G2")*2)*100)</f>
        <v/>
      </c>
      <c r="H20">
        <f>IF(COUNTIF('Race by Race'!F$2:F$64,"G2")=0,"",SUMIF('Race by Race'!F$2:F$64,"G2",'Race by Race'!X$2:X$64)/(COUNTIF('Race by Race'!F$2:F$64,"G2")*2)*100)</f>
        <v/>
      </c>
      <c r="I20">
        <f>IF(COUNTIF('Race by Race'!F$2:F$64,"G2")=0,"",SUMIF('Race by Race'!F$2:F$64,"G2",'Race by Race'!AA$2:AA$64)/(COUNTIF('Race by Race'!F$2:F$64,"G2")*2)*100)</f>
        <v/>
      </c>
      <c r="J20">
        <f>IF(COUNTIF('Race by Race'!F$2:F$64,"G2")=0,"",SUMIF('Race by Race'!F$2:F$64,"G2",'Race by Race'!Z$2:Z$64)/(COUNTIF('Race by Race'!F$2:F$64,"G2")*2)*100)</f>
        <v/>
      </c>
      <c r="K20">
        <f>IF(COUNTIF('Race by Race'!F$2:F$64,"G2")=0,"",COUNTIFS('Race by Race'!F$2:F$64,"G2",'Race by Race'!O$2:O$64,"Y")/COUNTIF('Race by Race'!F$2:F$64,"G2")*100)</f>
        <v/>
      </c>
    </row>
    <row r="21">
      <c r="A21" t="inlineStr">
        <is>
          <t>G3</t>
        </is>
      </c>
      <c r="B21">
        <f>COUNTIF('Race by Race'!F$2:F$64,"G3")</f>
        <v/>
      </c>
      <c r="C21">
        <f>COUNTIFS('Race by Race'!F$2:F$64,"G3",'Race by Race'!U$2:U$64,1)</f>
        <v/>
      </c>
      <c r="D21">
        <f>IF(COUNTIF('Race by Race'!F$2:F$64,"G3")=0,"",COUNTIFS('Race by Race'!F$2:F$64,"G3",'Race by Race'!U$2:U$64,1)/COUNTIF('Race by Race'!F$2:F$64,"G3")*100)</f>
        <v/>
      </c>
      <c r="E21">
        <f>COUNTIFS('Race by Race'!F$2:F$64,"G3",'Race by Race'!T$2:T$64,1)</f>
        <v/>
      </c>
      <c r="F21">
        <f>IF(COUNTIF('Race by Race'!F$2:F$64,"G3")=0,"",COUNTIFS('Race by Race'!F$2:F$64,"G3",'Race by Race'!T$2:T$64,1)/COUNTIF('Race by Race'!F$2:F$64,"G3")*100)</f>
        <v/>
      </c>
      <c r="G21">
        <f>IF(COUNTIF('Race by Race'!F$2:F$64,"G3")=0,"",SUMIF('Race by Race'!F$2:F$64,"G3",'Race by Race'!Y$2:Y$64)/(COUNTIF('Race by Race'!F$2:F$64,"G3")*2)*100)</f>
        <v/>
      </c>
      <c r="H21">
        <f>IF(COUNTIF('Race by Race'!F$2:F$64,"G3")=0,"",SUMIF('Race by Race'!F$2:F$64,"G3",'Race by Race'!X$2:X$64)/(COUNTIF('Race by Race'!F$2:F$64,"G3")*2)*100)</f>
        <v/>
      </c>
      <c r="I21">
        <f>IF(COUNTIF('Race by Race'!F$2:F$64,"G3")=0,"",SUMIF('Race by Race'!F$2:F$64,"G3",'Race by Race'!AA$2:AA$64)/(COUNTIF('Race by Race'!F$2:F$64,"G3")*2)*100)</f>
        <v/>
      </c>
      <c r="J21">
        <f>IF(COUNTIF('Race by Race'!F$2:F$64,"G3")=0,"",SUMIF('Race by Race'!F$2:F$64,"G3",'Race by Race'!Z$2:Z$64)/(COUNTIF('Race by Race'!F$2:F$64,"G3")*2)*100)</f>
        <v/>
      </c>
      <c r="K21">
        <f>IF(COUNTIF('Race by Race'!F$2:F$64,"G3")=0,"",COUNTIFS('Race by Race'!F$2:F$64,"G3",'Race by Race'!O$2:O$64,"Y")/COUNTIF('Race by Race'!F$2:F$64,"G3")*100)</f>
        <v/>
      </c>
    </row>
    <row r="22">
      <c r="A22" t="inlineStr">
        <is>
          <t>M</t>
        </is>
      </c>
      <c r="B22">
        <f>COUNTIF('Race by Race'!F$2:F$64,"M")</f>
        <v/>
      </c>
      <c r="C22">
        <f>COUNTIFS('Race by Race'!F$2:F$64,"M",'Race by Race'!U$2:U$64,1)</f>
        <v/>
      </c>
      <c r="D22">
        <f>IF(COUNTIF('Race by Race'!F$2:F$64,"M")=0,"",COUNTIFS('Race by Race'!F$2:F$64,"M",'Race by Race'!U$2:U$64,1)/COUNTIF('Race by Race'!F$2:F$64,"M")*100)</f>
        <v/>
      </c>
      <c r="E22">
        <f>COUNTIFS('Race by Race'!F$2:F$64,"M",'Race by Race'!T$2:T$64,1)</f>
        <v/>
      </c>
      <c r="F22">
        <f>IF(COUNTIF('Race by Race'!F$2:F$64,"M")=0,"",COUNTIFS('Race by Race'!F$2:F$64,"M",'Race by Race'!T$2:T$64,1)/COUNTIF('Race by Race'!F$2:F$64,"M")*100)</f>
        <v/>
      </c>
      <c r="G22">
        <f>IF(COUNTIF('Race by Race'!F$2:F$64,"M")=0,"",SUMIF('Race by Race'!F$2:F$64,"M",'Race by Race'!Y$2:Y$64)/(COUNTIF('Race by Race'!F$2:F$64,"M")*2)*100)</f>
        <v/>
      </c>
      <c r="H22">
        <f>IF(COUNTIF('Race by Race'!F$2:F$64,"M")=0,"",SUMIF('Race by Race'!F$2:F$64,"M",'Race by Race'!X$2:X$64)/(COUNTIF('Race by Race'!F$2:F$64,"M")*2)*100)</f>
        <v/>
      </c>
      <c r="I22">
        <f>IF(COUNTIF('Race by Race'!F$2:F$64,"M")=0,"",SUMIF('Race by Race'!F$2:F$64,"M",'Race by Race'!AA$2:AA$64)/(COUNTIF('Race by Race'!F$2:F$64,"M")*2)*100)</f>
        <v/>
      </c>
      <c r="J22">
        <f>IF(COUNTIF('Race by Race'!F$2:F$64,"M")=0,"",SUMIF('Race by Race'!F$2:F$64,"M",'Race by Race'!Z$2:Z$64)/(COUNTIF('Race by Race'!F$2:F$64,"M")*2)*100)</f>
        <v/>
      </c>
      <c r="K22">
        <f>IF(COUNTIF('Race by Race'!F$2:F$64,"M")=0,"",COUNTIFS('Race by Race'!F$2:F$64,"M",'Race by Race'!O$2:O$64,"Y")/COUNTIF('Race by Race'!F$2:F$64,"M")*100)</f>
        <v/>
      </c>
    </row>
    <row r="23">
      <c r="A23" t="inlineStr">
        <is>
          <t>N</t>
        </is>
      </c>
      <c r="B23">
        <f>COUNTIF('Race by Race'!F$2:F$64,"N")</f>
        <v/>
      </c>
      <c r="C23">
        <f>COUNTIFS('Race by Race'!F$2:F$64,"N",'Race by Race'!U$2:U$64,1)</f>
        <v/>
      </c>
      <c r="D23">
        <f>IF(COUNTIF('Race by Race'!F$2:F$64,"N")=0,"",COUNTIFS('Race by Race'!F$2:F$64,"N",'Race by Race'!U$2:U$64,1)/COUNTIF('Race by Race'!F$2:F$64,"N")*100)</f>
        <v/>
      </c>
      <c r="E23">
        <f>COUNTIFS('Race by Race'!F$2:F$64,"N",'Race by Race'!T$2:T$64,1)</f>
        <v/>
      </c>
      <c r="F23">
        <f>IF(COUNTIF('Race by Race'!F$2:F$64,"N")=0,"",COUNTIFS('Race by Race'!F$2:F$64,"N",'Race by Race'!T$2:T$64,1)/COUNTIF('Race by Race'!F$2:F$64,"N")*100)</f>
        <v/>
      </c>
      <c r="G23">
        <f>IF(COUNTIF('Race by Race'!F$2:F$64,"N")=0,"",SUMIF('Race by Race'!F$2:F$64,"N",'Race by Race'!Y$2:Y$64)/(COUNTIF('Race by Race'!F$2:F$64,"N")*2)*100)</f>
        <v/>
      </c>
      <c r="H23">
        <f>IF(COUNTIF('Race by Race'!F$2:F$64,"N")=0,"",SUMIF('Race by Race'!F$2:F$64,"N",'Race by Race'!X$2:X$64)/(COUNTIF('Race by Race'!F$2:F$64,"N")*2)*100)</f>
        <v/>
      </c>
      <c r="I23">
        <f>IF(COUNTIF('Race by Race'!F$2:F$64,"N")=0,"",SUMIF('Race by Race'!F$2:F$64,"N",'Race by Race'!AA$2:AA$64)/(COUNTIF('Race by Race'!F$2:F$64,"N")*2)*100)</f>
        <v/>
      </c>
      <c r="J23">
        <f>IF(COUNTIF('Race by Race'!F$2:F$64,"N")=0,"",SUMIF('Race by Race'!F$2:F$64,"N",'Race by Race'!Z$2:Z$64)/(COUNTIF('Race by Race'!F$2:F$64,"N")*2)*100)</f>
        <v/>
      </c>
      <c r="K23">
        <f>IF(COUNTIF('Race by Race'!F$2:F$64,"N")=0,"",COUNTIFS('Race by Race'!F$2:F$64,"N",'Race by Race'!O$2:O$64,"Y")/COUNTIF('Race by Race'!F$2:F$64,"N")*100)</f>
        <v/>
      </c>
    </row>
    <row r="24">
      <c r="A24" t="inlineStr">
        <is>
          <t>R</t>
        </is>
      </c>
      <c r="B24">
        <f>COUNTIF('Race by Race'!F$2:F$64,"R")</f>
        <v/>
      </c>
      <c r="C24">
        <f>COUNTIFS('Race by Race'!F$2:F$64,"R",'Race by Race'!U$2:U$64,1)</f>
        <v/>
      </c>
      <c r="D24">
        <f>IF(COUNTIF('Race by Race'!F$2:F$64,"R")=0,"",COUNTIFS('Race by Race'!F$2:F$64,"R",'Race by Race'!U$2:U$64,1)/COUNTIF('Race by Race'!F$2:F$64,"R")*100)</f>
        <v/>
      </c>
      <c r="E24">
        <f>COUNTIFS('Race by Race'!F$2:F$64,"R",'Race by Race'!T$2:T$64,1)</f>
        <v/>
      </c>
      <c r="F24">
        <f>IF(COUNTIF('Race by Race'!F$2:F$64,"R")=0,"",COUNTIFS('Race by Race'!F$2:F$64,"R",'Race by Race'!T$2:T$64,1)/COUNTIF('Race by Race'!F$2:F$64,"R")*100)</f>
        <v/>
      </c>
      <c r="G24">
        <f>IF(COUNTIF('Race by Race'!F$2:F$64,"R")=0,"",SUMIF('Race by Race'!F$2:F$64,"R",'Race by Race'!Y$2:Y$64)/(COUNTIF('Race by Race'!F$2:F$64,"R")*2)*100)</f>
        <v/>
      </c>
      <c r="H24">
        <f>IF(COUNTIF('Race by Race'!F$2:F$64,"R")=0,"",SUMIF('Race by Race'!F$2:F$64,"R",'Race by Race'!X$2:X$64)/(COUNTIF('Race by Race'!F$2:F$64,"R")*2)*100)</f>
        <v/>
      </c>
      <c r="I24">
        <f>IF(COUNTIF('Race by Race'!F$2:F$64,"R")=0,"",SUMIF('Race by Race'!F$2:F$64,"R",'Race by Race'!AA$2:AA$64)/(COUNTIF('Race by Race'!F$2:F$64,"R")*2)*100)</f>
        <v/>
      </c>
      <c r="J24">
        <f>IF(COUNTIF('Race by Race'!F$2:F$64,"R")=0,"",SUMIF('Race by Race'!F$2:F$64,"R",'Race by Race'!Z$2:Z$64)/(COUNTIF('Race by Race'!F$2:F$64,"R")*2)*100)</f>
        <v/>
      </c>
      <c r="K24">
        <f>IF(COUNTIF('Race by Race'!F$2:F$64,"R")=0,"",COUNTIFS('Race by Race'!F$2:F$64,"R",'Race by Race'!O$2:O$64,"Y")/COUNTIF('Race by Race'!F$2:F$64,"R")*100)</f>
        <v/>
      </c>
    </row>
    <row r="25">
      <c r="A25" t="inlineStr">
        <is>
          <t>S</t>
        </is>
      </c>
      <c r="B25">
        <f>COUNTIF('Race by Race'!F$2:F$64,"S")</f>
        <v/>
      </c>
      <c r="C25">
        <f>COUNTIFS('Race by Race'!F$2:F$64,"S",'Race by Race'!U$2:U$64,1)</f>
        <v/>
      </c>
      <c r="D25">
        <f>IF(COUNTIF('Race by Race'!F$2:F$64,"S")=0,"",COUNTIFS('Race by Race'!F$2:F$64,"S",'Race by Race'!U$2:U$64,1)/COUNTIF('Race by Race'!F$2:F$64,"S")*100)</f>
        <v/>
      </c>
      <c r="E25">
        <f>COUNTIFS('Race by Race'!F$2:F$64,"S",'Race by Race'!T$2:T$64,1)</f>
        <v/>
      </c>
      <c r="F25">
        <f>IF(COUNTIF('Race by Race'!F$2:F$64,"S")=0,"",COUNTIFS('Race by Race'!F$2:F$64,"S",'Race by Race'!T$2:T$64,1)/COUNTIF('Race by Race'!F$2:F$64,"S")*100)</f>
        <v/>
      </c>
      <c r="G25">
        <f>IF(COUNTIF('Race by Race'!F$2:F$64,"S")=0,"",SUMIF('Race by Race'!F$2:F$64,"S",'Race by Race'!Y$2:Y$64)/(COUNTIF('Race by Race'!F$2:F$64,"S")*2)*100)</f>
        <v/>
      </c>
      <c r="H25">
        <f>IF(COUNTIF('Race by Race'!F$2:F$64,"S")=0,"",SUMIF('Race by Race'!F$2:F$64,"S",'Race by Race'!X$2:X$64)/(COUNTIF('Race by Race'!F$2:F$64,"S")*2)*100)</f>
        <v/>
      </c>
      <c r="I25">
        <f>IF(COUNTIF('Race by Race'!F$2:F$64,"S")=0,"",SUMIF('Race by Race'!F$2:F$64,"S",'Race by Race'!AA$2:AA$64)/(COUNTIF('Race by Race'!F$2:F$64,"S")*2)*100)</f>
        <v/>
      </c>
      <c r="J25">
        <f>IF(COUNTIF('Race by Race'!F$2:F$64,"S")=0,"",SUMIF('Race by Race'!F$2:F$64,"S",'Race by Race'!Z$2:Z$64)/(COUNTIF('Race by Race'!F$2:F$64,"S")*2)*100)</f>
        <v/>
      </c>
      <c r="K25">
        <f>IF(COUNTIF('Race by Race'!F$2:F$64,"S")=0,"",COUNTIFS('Race by Race'!F$2:F$64,"S",'Race by Race'!O$2:O$64,"Y")/COUNTIF('Race by Race'!F$2:F$64,"S")*100)</f>
        <v/>
      </c>
    </row>
    <row r="27">
      <c r="A27" s="6" t="inlineStr">
        <is>
          <t>By Pace Scenario</t>
        </is>
      </c>
    </row>
    <row r="28">
      <c r="A28" s="7" t="inlineStr">
        <is>
          <t>Group</t>
        </is>
      </c>
      <c r="B28" s="7" t="inlineStr">
        <is>
          <t>Races</t>
        </is>
      </c>
      <c r="C28" s="7" t="inlineStr">
        <is>
          <t>CM Wins</t>
        </is>
      </c>
      <c r="D28" s="7" t="inlineStr">
        <is>
          <t>CM Win%</t>
        </is>
      </c>
      <c r="E28" s="7" t="inlineStr">
        <is>
          <t>R5 Wins</t>
        </is>
      </c>
      <c r="F28" s="7" t="inlineStr">
        <is>
          <t>R5 Win%</t>
        </is>
      </c>
      <c r="G28" s="7" t="inlineStr">
        <is>
          <t>CM ROI(ML)%</t>
        </is>
      </c>
      <c r="H28" s="7" t="inlineStr">
        <is>
          <t>R5 ROI(ML)%</t>
        </is>
      </c>
      <c r="I28" s="7" t="inlineStr">
        <is>
          <t>CM ROI(SP)%</t>
        </is>
      </c>
      <c r="J28" s="7" t="inlineStr">
        <is>
          <t>R5 ROI(SP)%</t>
        </is>
      </c>
      <c r="K28" s="7" t="inlineStr">
        <is>
          <t>Agreement%</t>
        </is>
      </c>
    </row>
    <row r="29">
      <c r="A29" t="inlineStr">
        <is>
          <t>HOT</t>
        </is>
      </c>
      <c r="B29">
        <f>COUNTIF('Race by Race'!G$2:G$64,"HOT")</f>
        <v/>
      </c>
      <c r="C29">
        <f>COUNTIFS('Race by Race'!G$2:G$64,"HOT",'Race by Race'!U$2:U$64,1)</f>
        <v/>
      </c>
      <c r="D29">
        <f>IF(COUNTIF('Race by Race'!G$2:G$64,"HOT")=0,"",COUNTIFS('Race by Race'!G$2:G$64,"HOT",'Race by Race'!U$2:U$64,1)/COUNTIF('Race by Race'!G$2:G$64,"HOT")*100)</f>
        <v/>
      </c>
      <c r="E29">
        <f>COUNTIFS('Race by Race'!G$2:G$64,"HOT",'Race by Race'!T$2:T$64,1)</f>
        <v/>
      </c>
      <c r="F29">
        <f>IF(COUNTIF('Race by Race'!G$2:G$64,"HOT")=0,"",COUNTIFS('Race by Race'!G$2:G$64,"HOT",'Race by Race'!T$2:T$64,1)/COUNTIF('Race by Race'!G$2:G$64,"HOT")*100)</f>
        <v/>
      </c>
      <c r="G29">
        <f>IF(COUNTIF('Race by Race'!G$2:G$64,"HOT")=0,"",SUMIF('Race by Race'!G$2:G$64,"HOT",'Race by Race'!Y$2:Y$64)/(COUNTIF('Race by Race'!G$2:G$64,"HOT")*2)*100)</f>
        <v/>
      </c>
      <c r="H29">
        <f>IF(COUNTIF('Race by Race'!G$2:G$64,"HOT")=0,"",SUMIF('Race by Race'!G$2:G$64,"HOT",'Race by Race'!X$2:X$64)/(COUNTIF('Race by Race'!G$2:G$64,"HOT")*2)*100)</f>
        <v/>
      </c>
      <c r="I29">
        <f>IF(COUNTIF('Race by Race'!G$2:G$64,"HOT")=0,"",SUMIF('Race by Race'!G$2:G$64,"HOT",'Race by Race'!AA$2:AA$64)/(COUNTIF('Race by Race'!G$2:G$64,"HOT")*2)*100)</f>
        <v/>
      </c>
      <c r="J29">
        <f>IF(COUNTIF('Race by Race'!G$2:G$64,"HOT")=0,"",SUMIF('Race by Race'!G$2:G$64,"HOT",'Race by Race'!Z$2:Z$64)/(COUNTIF('Race by Race'!G$2:G$64,"HOT")*2)*100)</f>
        <v/>
      </c>
      <c r="K29">
        <f>IF(COUNTIF('Race by Race'!G$2:G$64,"HOT")=0,"",COUNTIFS('Race by Race'!G$2:G$64,"HOT",'Race by Race'!O$2:O$64,"Y")/COUNTIF('Race by Race'!G$2:G$64,"HOT")*100)</f>
        <v/>
      </c>
    </row>
    <row r="30">
      <c r="A30" t="inlineStr">
        <is>
          <t>NORMAL</t>
        </is>
      </c>
      <c r="B30">
        <f>COUNTIF('Race by Race'!G$2:G$64,"NORMAL")</f>
        <v/>
      </c>
      <c r="C30">
        <f>COUNTIFS('Race by Race'!G$2:G$64,"NORMAL",'Race by Race'!U$2:U$64,1)</f>
        <v/>
      </c>
      <c r="D30">
        <f>IF(COUNTIF('Race by Race'!G$2:G$64,"NORMAL")=0,"",COUNTIFS('Race by Race'!G$2:G$64,"NORMAL",'Race by Race'!U$2:U$64,1)/COUNTIF('Race by Race'!G$2:G$64,"NORMAL")*100)</f>
        <v/>
      </c>
      <c r="E30">
        <f>COUNTIFS('Race by Race'!G$2:G$64,"NORMAL",'Race by Race'!T$2:T$64,1)</f>
        <v/>
      </c>
      <c r="F30">
        <f>IF(COUNTIF('Race by Race'!G$2:G$64,"NORMAL")=0,"",COUNTIFS('Race by Race'!G$2:G$64,"NORMAL",'Race by Race'!T$2:T$64,1)/COUNTIF('Race by Race'!G$2:G$64,"NORMAL")*100)</f>
        <v/>
      </c>
      <c r="G30">
        <f>IF(COUNTIF('Race by Race'!G$2:G$64,"NORMAL")=0,"",SUMIF('Race by Race'!G$2:G$64,"NORMAL",'Race by Race'!Y$2:Y$64)/(COUNTIF('Race by Race'!G$2:G$64,"NORMAL")*2)*100)</f>
        <v/>
      </c>
      <c r="H30">
        <f>IF(COUNTIF('Race by Race'!G$2:G$64,"NORMAL")=0,"",SUMIF('Race by Race'!G$2:G$64,"NORMAL",'Race by Race'!X$2:X$64)/(COUNTIF('Race by Race'!G$2:G$64,"NORMAL")*2)*100)</f>
        <v/>
      </c>
      <c r="I30">
        <f>IF(COUNTIF('Race by Race'!G$2:G$64,"NORMAL")=0,"",SUMIF('Race by Race'!G$2:G$64,"NORMAL",'Race by Race'!AA$2:AA$64)/(COUNTIF('Race by Race'!G$2:G$64,"NORMAL")*2)*100)</f>
        <v/>
      </c>
      <c r="J30">
        <f>IF(COUNTIF('Race by Race'!G$2:G$64,"NORMAL")=0,"",SUMIF('Race by Race'!G$2:G$64,"NORMAL",'Race by Race'!Z$2:Z$64)/(COUNTIF('Race by Race'!G$2:G$64,"NORMAL")*2)*100)</f>
        <v/>
      </c>
      <c r="K30">
        <f>IF(COUNTIF('Race by Race'!G$2:G$64,"NORMAL")=0,"",COUNTIFS('Race by Race'!G$2:G$64,"NORMAL",'Race by Race'!O$2:O$64,"Y")/COUNTIF('Race by Race'!G$2:G$64,"NORMAL")*100)</f>
        <v/>
      </c>
    </row>
    <row r="31">
      <c r="A31" t="inlineStr">
        <is>
          <t>SLOW</t>
        </is>
      </c>
      <c r="B31">
        <f>COUNTIF('Race by Race'!G$2:G$64,"SLOW")</f>
        <v/>
      </c>
      <c r="C31">
        <f>COUNTIFS('Race by Race'!G$2:G$64,"SLOW",'Race by Race'!U$2:U$64,1)</f>
        <v/>
      </c>
      <c r="D31">
        <f>IF(COUNTIF('Race by Race'!G$2:G$64,"SLOW")=0,"",COUNTIFS('Race by Race'!G$2:G$64,"SLOW",'Race by Race'!U$2:U$64,1)/COUNTIF('Race by Race'!G$2:G$64,"SLOW")*100)</f>
        <v/>
      </c>
      <c r="E31">
        <f>COUNTIFS('Race by Race'!G$2:G$64,"SLOW",'Race by Race'!T$2:T$64,1)</f>
        <v/>
      </c>
      <c r="F31">
        <f>IF(COUNTIF('Race by Race'!G$2:G$64,"SLOW")=0,"",COUNTIFS('Race by Race'!G$2:G$64,"SLOW",'Race by Race'!T$2:T$64,1)/COUNTIF('Race by Race'!G$2:G$64,"SLOW")*100)</f>
        <v/>
      </c>
      <c r="G31">
        <f>IF(COUNTIF('Race by Race'!G$2:G$64,"SLOW")=0,"",SUMIF('Race by Race'!G$2:G$64,"SLOW",'Race by Race'!Y$2:Y$64)/(COUNTIF('Race by Race'!G$2:G$64,"SLOW")*2)*100)</f>
        <v/>
      </c>
      <c r="H31">
        <f>IF(COUNTIF('Race by Race'!G$2:G$64,"SLOW")=0,"",SUMIF('Race by Race'!G$2:G$64,"SLOW",'Race by Race'!X$2:X$64)/(COUNTIF('Race by Race'!G$2:G$64,"SLOW")*2)*100)</f>
        <v/>
      </c>
      <c r="I31">
        <f>IF(COUNTIF('Race by Race'!G$2:G$64,"SLOW")=0,"",SUMIF('Race by Race'!G$2:G$64,"SLOW",'Race by Race'!AA$2:AA$64)/(COUNTIF('Race by Race'!G$2:G$64,"SLOW")*2)*100)</f>
        <v/>
      </c>
      <c r="J31">
        <f>IF(COUNTIF('Race by Race'!G$2:G$64,"SLOW")=0,"",SUMIF('Race by Race'!G$2:G$64,"SLOW",'Race by Race'!Z$2:Z$64)/(COUNTIF('Race by Race'!G$2:G$64,"SLOW")*2)*100)</f>
        <v/>
      </c>
      <c r="K31">
        <f>IF(COUNTIF('Race by Race'!G$2:G$64,"SLOW")=0,"",COUNTIFS('Race by Race'!G$2:G$64,"SLOW",'Race by Race'!O$2:O$64,"Y")/COUNTIF('Race by Race'!G$2:G$64,"SLOW")*100)</f>
        <v/>
      </c>
    </row>
    <row r="33">
      <c r="A33" s="6" t="inlineStr">
        <is>
          <t>By Field Size</t>
        </is>
      </c>
    </row>
    <row r="34">
      <c r="A34" s="7" t="inlineStr">
        <is>
          <t>Group</t>
        </is>
      </c>
      <c r="B34" s="7" t="inlineStr">
        <is>
          <t>Races</t>
        </is>
      </c>
      <c r="C34" s="7" t="inlineStr">
        <is>
          <t>CM Wins</t>
        </is>
      </c>
      <c r="D34" s="7" t="inlineStr">
        <is>
          <t>CM Win%</t>
        </is>
      </c>
      <c r="E34" s="7" t="inlineStr">
        <is>
          <t>R5 Wins</t>
        </is>
      </c>
      <c r="F34" s="7" t="inlineStr">
        <is>
          <t>R5 Win%</t>
        </is>
      </c>
    </row>
    <row r="35">
      <c r="A35" t="inlineStr">
        <is>
          <t>1-6</t>
        </is>
      </c>
      <c r="B35" t="n">
        <v>6</v>
      </c>
      <c r="C35" t="n">
        <v>0</v>
      </c>
      <c r="D35" t="n">
        <v>0</v>
      </c>
      <c r="E35" t="n">
        <v>2</v>
      </c>
      <c r="F35" t="n">
        <v>33.3</v>
      </c>
    </row>
    <row r="36">
      <c r="A36" t="inlineStr">
        <is>
          <t>7-9</t>
        </is>
      </c>
      <c r="B36" t="n">
        <v>26</v>
      </c>
      <c r="C36" t="n">
        <v>8</v>
      </c>
      <c r="D36" t="n">
        <v>30.8</v>
      </c>
      <c r="E36" t="n">
        <v>7</v>
      </c>
      <c r="F36" t="n">
        <v>26.9</v>
      </c>
    </row>
    <row r="37">
      <c r="A37" t="inlineStr">
        <is>
          <t>10+</t>
        </is>
      </c>
      <c r="B37" t="n">
        <v>31</v>
      </c>
      <c r="C37" t="n">
        <v>8</v>
      </c>
      <c r="D37" t="n">
        <v>25.8</v>
      </c>
      <c r="E37" t="n">
        <v>7</v>
      </c>
      <c r="F37" t="n">
        <v>22.6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2" customWidth="1" min="4" max="4"/>
  </cols>
  <sheetData>
    <row r="1">
      <c r="A1" s="8" t="inlineStr">
        <is>
          <t>CM Signal Analysis</t>
        </is>
      </c>
    </row>
    <row r="3">
      <c r="A3" s="4" t="inlineStr">
        <is>
          <t>A-Tier (rank=1 horses)</t>
        </is>
      </c>
    </row>
    <row r="4">
      <c r="A4" t="inlineStr">
        <is>
          <t>Total</t>
        </is>
      </c>
      <c r="B4" t="n">
        <v>65</v>
      </c>
    </row>
    <row r="5">
      <c r="A5" t="inlineStr">
        <is>
          <t>Wins</t>
        </is>
      </c>
      <c r="B5" t="n">
        <v>16</v>
      </c>
    </row>
    <row r="6">
      <c r="A6" t="inlineStr">
        <is>
          <t>Win %</t>
        </is>
      </c>
      <c r="B6" t="n">
        <v>24.6</v>
      </c>
    </row>
    <row r="8">
      <c r="A8" s="4" t="inlineStr">
        <is>
          <t>Dominant Flag</t>
        </is>
      </c>
    </row>
    <row r="9">
      <c r="A9" t="inlineStr">
        <is>
          <t>Total</t>
        </is>
      </c>
      <c r="B9" t="n">
        <v>96</v>
      </c>
    </row>
    <row r="10">
      <c r="A10" t="inlineStr">
        <is>
          <t>Wins</t>
        </is>
      </c>
      <c r="B10" t="n">
        <v>20</v>
      </c>
    </row>
    <row r="11">
      <c r="A11" t="inlineStr">
        <is>
          <t>Win %</t>
        </is>
      </c>
      <c r="B11" t="n">
        <v>20.8</v>
      </c>
    </row>
    <row r="13">
      <c r="A13" s="4" t="inlineStr">
        <is>
          <t>Overlay Watch</t>
        </is>
      </c>
    </row>
    <row r="14">
      <c r="A14" t="inlineStr">
        <is>
          <t>Total</t>
        </is>
      </c>
      <c r="B14" t="n">
        <v>18</v>
      </c>
    </row>
    <row r="15">
      <c r="A15" t="inlineStr">
        <is>
          <t>Wins</t>
        </is>
      </c>
      <c r="B15" t="n">
        <v>1</v>
      </c>
    </row>
    <row r="16">
      <c r="A16" t="inlineStr">
        <is>
          <t>Win %</t>
        </is>
      </c>
      <c r="B16" t="n">
        <v>5.6</v>
      </c>
    </row>
    <row r="17">
      <c r="A17" t="inlineStr">
        <is>
          <t>ROI ML %</t>
        </is>
      </c>
      <c r="B17" t="n">
        <v>-55.6</v>
      </c>
    </row>
    <row r="19">
      <c r="A19" s="4" t="inlineStr">
        <is>
          <t>Consensus Count vs Win Rate (CM Rank=1)</t>
        </is>
      </c>
    </row>
    <row r="20">
      <c r="A20" s="7" t="inlineStr">
        <is>
          <t>Level</t>
        </is>
      </c>
      <c r="B20" s="7" t="inlineStr">
        <is>
          <t>Races</t>
        </is>
      </c>
      <c r="C20" s="7" t="inlineStr">
        <is>
          <t>Wins</t>
        </is>
      </c>
      <c r="D20" s="7" t="inlineStr">
        <is>
          <t>Win %</t>
        </is>
      </c>
    </row>
    <row r="21">
      <c r="A21" t="n">
        <v>1</v>
      </c>
      <c r="B21" t="n">
        <v>0</v>
      </c>
      <c r="D21" t="n">
        <v>0</v>
      </c>
    </row>
    <row r="22">
      <c r="A22" t="n">
        <v>2</v>
      </c>
      <c r="B22" t="n">
        <v>1</v>
      </c>
      <c r="C22" t="n">
        <v>0</v>
      </c>
      <c r="D22" t="n">
        <v>0</v>
      </c>
    </row>
    <row r="23">
      <c r="A23" t="n">
        <v>3</v>
      </c>
      <c r="B23" t="n">
        <v>10</v>
      </c>
      <c r="C23" t="n">
        <v>1</v>
      </c>
      <c r="D23" t="n">
        <v>10</v>
      </c>
    </row>
    <row r="24">
      <c r="A24" t="n">
        <v>4</v>
      </c>
      <c r="B24" t="n">
        <v>18</v>
      </c>
      <c r="C24" t="n">
        <v>6</v>
      </c>
      <c r="D24" t="n">
        <v>33.3</v>
      </c>
    </row>
    <row r="25">
      <c r="A25" t="n">
        <v>5</v>
      </c>
      <c r="B25" t="n">
        <v>17</v>
      </c>
      <c r="C25" t="n">
        <v>4</v>
      </c>
      <c r="D25" t="n">
        <v>23.5</v>
      </c>
    </row>
    <row r="26">
      <c r="A26" t="n">
        <v>6</v>
      </c>
      <c r="B26" t="n">
        <v>15</v>
      </c>
      <c r="C26" t="n">
        <v>3</v>
      </c>
      <c r="D26" t="n">
        <v>20</v>
      </c>
    </row>
    <row r="27">
      <c r="A27" t="n">
        <v>7</v>
      </c>
      <c r="B27" t="n">
        <v>4</v>
      </c>
      <c r="C27" t="n">
        <v>2</v>
      </c>
      <c r="D27" t="n">
        <v>50</v>
      </c>
    </row>
    <row r="28">
      <c r="A28" t="n">
        <v>8</v>
      </c>
      <c r="B28" t="n">
        <v>0</v>
      </c>
      <c r="D28" t="n">
        <v>0</v>
      </c>
    </row>
    <row r="30">
      <c r="A30" s="4" t="inlineStr">
        <is>
          <t>Underline Hit Rate by Category (rank=1 underlined)</t>
        </is>
      </c>
    </row>
    <row r="31">
      <c r="A31" s="7" t="inlineStr">
        <is>
          <t>Category</t>
        </is>
      </c>
      <c r="B31" s="7" t="inlineStr">
        <is>
          <t>Total</t>
        </is>
      </c>
      <c r="C31" s="7" t="inlineStr">
        <is>
          <t>Wins</t>
        </is>
      </c>
      <c r="D31" s="7" t="inlineStr">
        <is>
          <t>Win %</t>
        </is>
      </c>
    </row>
    <row r="32">
      <c r="A32" t="inlineStr">
        <is>
          <t>Avg Speed</t>
        </is>
      </c>
      <c r="B32" t="n">
        <v>47</v>
      </c>
      <c r="C32" t="n">
        <v>10</v>
      </c>
      <c r="D32" t="n">
        <v>21.3</v>
      </c>
    </row>
    <row r="33">
      <c r="A33" t="inlineStr">
        <is>
          <t>Best Speed</t>
        </is>
      </c>
      <c r="B33" t="n">
        <v>52</v>
      </c>
      <c r="C33" t="n">
        <v>10</v>
      </c>
      <c r="D33" t="n">
        <v>19.2</v>
      </c>
    </row>
    <row r="34">
      <c r="A34" t="inlineStr">
        <is>
          <t>Distance Speed</t>
        </is>
      </c>
      <c r="B34" t="n">
        <v>52</v>
      </c>
      <c r="C34" t="n">
        <v>9</v>
      </c>
      <c r="D34" t="n">
        <v>17.3</v>
      </c>
    </row>
    <row r="35">
      <c r="A35" t="inlineStr">
        <is>
          <t>Earnings</t>
        </is>
      </c>
      <c r="B35" t="n">
        <v>62</v>
      </c>
      <c r="C35" t="n">
        <v>10</v>
      </c>
      <c r="D35" t="n">
        <v>16.1</v>
      </c>
    </row>
    <row r="36">
      <c r="A36" t="inlineStr">
        <is>
          <t>Jockey Rating</t>
        </is>
      </c>
      <c r="B36" t="n">
        <v>38</v>
      </c>
      <c r="C36" t="n">
        <v>3</v>
      </c>
      <c r="D36" t="n">
        <v>7.9</v>
      </c>
    </row>
    <row r="37">
      <c r="A37" t="inlineStr">
        <is>
          <t>Prime Power</t>
        </is>
      </c>
      <c r="B37" t="n">
        <v>57</v>
      </c>
      <c r="C37" t="n">
        <v>19</v>
      </c>
      <c r="D37" t="n">
        <v>33.3</v>
      </c>
    </row>
    <row r="38">
      <c r="A38" t="inlineStr">
        <is>
          <t>Trainer Rating</t>
        </is>
      </c>
      <c r="B38" t="n">
        <v>12</v>
      </c>
      <c r="C38" t="n">
        <v>0</v>
      </c>
      <c r="D3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5" customWidth="1" min="3" max="3"/>
    <col width="8" customWidth="1" min="4" max="4"/>
    <col width="8" customWidth="1" min="5" max="5"/>
    <col width="8" customWidth="1" min="6" max="6"/>
    <col width="11" customWidth="1" min="7" max="7"/>
    <col width="24" customWidth="1" min="8" max="8"/>
    <col width="12" customWidth="1" min="9" max="9"/>
    <col width="8" customWidth="1" min="10" max="10"/>
  </cols>
  <sheetData>
    <row r="1">
      <c r="A1" s="3" t="inlineStr">
        <is>
          <t>Date</t>
        </is>
      </c>
      <c r="B1" s="3" t="inlineStr">
        <is>
          <t>Track</t>
        </is>
      </c>
      <c r="C1" s="3" t="inlineStr">
        <is>
          <t>Race</t>
        </is>
      </c>
      <c r="D1" s="3" t="inlineStr">
        <is>
          <t>R5 Pick</t>
        </is>
      </c>
      <c r="E1" s="3" t="inlineStr">
        <is>
          <t>R5 Score</t>
        </is>
      </c>
      <c r="F1" s="3" t="inlineStr">
        <is>
          <t>CM Pick</t>
        </is>
      </c>
      <c r="G1" s="3" t="inlineStr">
        <is>
          <t>CM Composite</t>
        </is>
      </c>
      <c r="H1" s="3" t="inlineStr">
        <is>
          <t>Winner</t>
        </is>
      </c>
      <c r="I1" s="3" t="inlineStr">
        <is>
          <t>Who Was Right</t>
        </is>
      </c>
      <c r="J1" s="3" t="inlineStr">
        <is>
          <t>SP</t>
        </is>
      </c>
    </row>
    <row r="2">
      <c r="A2" t="inlineStr">
        <is>
          <t>20260502</t>
        </is>
      </c>
      <c r="B2" t="inlineStr">
        <is>
          <t>CDX</t>
        </is>
      </c>
      <c r="C2" t="n">
        <v>1</v>
      </c>
      <c r="D2" t="inlineStr">
        <is>
          <t>9</t>
        </is>
      </c>
      <c r="E2" t="n">
        <v>6.19</v>
      </c>
      <c r="F2" t="inlineStr">
        <is>
          <t>11</t>
        </is>
      </c>
      <c r="G2" t="n">
        <v>8</v>
      </c>
      <c r="H2" t="inlineStr">
        <is>
          <t>POWERSHIFT</t>
        </is>
      </c>
      <c r="I2" t="inlineStr">
        <is>
          <t>CM</t>
        </is>
      </c>
      <c r="J2" t="n">
        <v>4.14</v>
      </c>
    </row>
    <row r="3">
      <c r="A3" t="inlineStr">
        <is>
          <t>20260502</t>
        </is>
      </c>
      <c r="B3" t="inlineStr">
        <is>
          <t>CDX</t>
        </is>
      </c>
      <c r="C3" t="n">
        <v>3</v>
      </c>
      <c r="D3" t="inlineStr">
        <is>
          <t>12</t>
        </is>
      </c>
      <c r="E3" t="n">
        <v>6.66</v>
      </c>
      <c r="F3" t="inlineStr">
        <is>
          <t>6</t>
        </is>
      </c>
      <c r="G3" t="n">
        <v>8</v>
      </c>
      <c r="H3" t="inlineStr">
        <is>
          <t>VIBE</t>
        </is>
      </c>
      <c r="I3" t="inlineStr">
        <is>
          <t>Neither</t>
        </is>
      </c>
      <c r="J3" t="n">
        <v>16.48</v>
      </c>
    </row>
    <row r="4">
      <c r="A4" t="inlineStr">
        <is>
          <t>20260502</t>
        </is>
      </c>
      <c r="B4" t="inlineStr">
        <is>
          <t>CDX</t>
        </is>
      </c>
      <c r="C4" t="n">
        <v>5</v>
      </c>
      <c r="D4" t="inlineStr">
        <is>
          <t>5</t>
        </is>
      </c>
      <c r="E4" t="n">
        <v>6.24</v>
      </c>
      <c r="F4" t="inlineStr">
        <is>
          <t>1</t>
        </is>
      </c>
      <c r="G4" t="n">
        <v>7</v>
      </c>
      <c r="H4" t="inlineStr">
        <is>
          <t>YELLOW CARD</t>
        </is>
      </c>
      <c r="I4" t="inlineStr">
        <is>
          <t>Neither</t>
        </is>
      </c>
      <c r="J4" t="n">
        <v>7.8</v>
      </c>
    </row>
    <row r="5">
      <c r="A5" t="inlineStr">
        <is>
          <t>20260502</t>
        </is>
      </c>
      <c r="B5" t="inlineStr">
        <is>
          <t>CDX</t>
        </is>
      </c>
      <c r="C5" t="n">
        <v>6</v>
      </c>
      <c r="D5" t="inlineStr">
        <is>
          <t>4</t>
        </is>
      </c>
      <c r="E5" t="n">
        <v>6.64</v>
      </c>
      <c r="F5" t="inlineStr">
        <is>
          <t>2</t>
        </is>
      </c>
      <c r="G5" t="n">
        <v>8</v>
      </c>
      <c r="H5" t="inlineStr">
        <is>
          <t>TOUR PLAYER</t>
        </is>
      </c>
      <c r="I5" t="inlineStr">
        <is>
          <t>Neither</t>
        </is>
      </c>
      <c r="J5" t="n">
        <v>8.699999999999999</v>
      </c>
    </row>
    <row r="6">
      <c r="A6" t="inlineStr">
        <is>
          <t>20260502</t>
        </is>
      </c>
      <c r="B6" t="inlineStr">
        <is>
          <t>CDX</t>
        </is>
      </c>
      <c r="C6" t="n">
        <v>7</v>
      </c>
      <c r="D6" t="inlineStr">
        <is>
          <t>2</t>
        </is>
      </c>
      <c r="E6" t="n">
        <v>6.05</v>
      </c>
      <c r="F6" t="inlineStr">
        <is>
          <t>7</t>
        </is>
      </c>
      <c r="G6" t="n">
        <v>9</v>
      </c>
      <c r="H6" t="inlineStr">
        <is>
          <t>CLASSIC Q</t>
        </is>
      </c>
      <c r="I6" t="inlineStr">
        <is>
          <t>Neither</t>
        </is>
      </c>
      <c r="J6" t="n">
        <v>15.62</v>
      </c>
    </row>
    <row r="7">
      <c r="A7" t="inlineStr">
        <is>
          <t>20260502</t>
        </is>
      </c>
      <c r="B7" t="inlineStr">
        <is>
          <t>CDX</t>
        </is>
      </c>
      <c r="C7" t="n">
        <v>8</v>
      </c>
      <c r="D7" t="inlineStr">
        <is>
          <t>6</t>
        </is>
      </c>
      <c r="E7" t="n">
        <v>7.28</v>
      </c>
      <c r="F7" t="inlineStr">
        <is>
          <t>1</t>
        </is>
      </c>
      <c r="G7" t="n">
        <v>7</v>
      </c>
      <c r="H7" t="inlineStr">
        <is>
          <t>CRUDE VELOCITY</t>
        </is>
      </c>
      <c r="I7" t="inlineStr">
        <is>
          <t>R5</t>
        </is>
      </c>
      <c r="J7" t="n">
        <v>5.14</v>
      </c>
    </row>
    <row r="8">
      <c r="A8" t="inlineStr">
        <is>
          <t>20260502</t>
        </is>
      </c>
      <c r="B8" t="inlineStr">
        <is>
          <t>CDX</t>
        </is>
      </c>
      <c r="C8" t="n">
        <v>9</v>
      </c>
      <c r="D8" t="inlineStr">
        <is>
          <t>8</t>
        </is>
      </c>
      <c r="E8" t="n">
        <v>5.73</v>
      </c>
      <c r="F8" t="inlineStr">
        <is>
          <t>4</t>
        </is>
      </c>
      <c r="G8" t="n">
        <v>6</v>
      </c>
      <c r="H8" t="inlineStr">
        <is>
          <t>STARK CONTRAST</t>
        </is>
      </c>
      <c r="I8" t="inlineStr">
        <is>
          <t>CM</t>
        </is>
      </c>
      <c r="J8" t="n">
        <v>4.4</v>
      </c>
    </row>
    <row r="9">
      <c r="A9" t="inlineStr">
        <is>
          <t>20260502</t>
        </is>
      </c>
      <c r="B9" t="inlineStr">
        <is>
          <t>CDX</t>
        </is>
      </c>
      <c r="C9" t="n">
        <v>11</v>
      </c>
      <c r="D9" t="inlineStr">
        <is>
          <t>1</t>
        </is>
      </c>
      <c r="E9" t="n">
        <v>7.19</v>
      </c>
      <c r="F9" t="inlineStr">
        <is>
          <t>4</t>
        </is>
      </c>
      <c r="G9" t="n">
        <v>5</v>
      </c>
      <c r="H9" t="inlineStr">
        <is>
          <t>RHETORICAL</t>
        </is>
      </c>
      <c r="I9" t="inlineStr">
        <is>
          <t>Neither</t>
        </is>
      </c>
      <c r="J9" t="n">
        <v>5.92</v>
      </c>
    </row>
    <row r="10">
      <c r="A10" t="inlineStr">
        <is>
          <t>20260502</t>
        </is>
      </c>
      <c r="B10" t="inlineStr">
        <is>
          <t>CDX</t>
        </is>
      </c>
      <c r="C10" t="n">
        <v>12</v>
      </c>
      <c r="D10" t="inlineStr">
        <is>
          <t>15</t>
        </is>
      </c>
      <c r="E10" t="n">
        <v>7.05</v>
      </c>
      <c r="F10" t="inlineStr">
        <is>
          <t>18</t>
        </is>
      </c>
      <c r="G10" t="n">
        <v>6</v>
      </c>
      <c r="H10" t="inlineStr">
        <is>
          <t>GOLDEN TEMPO</t>
        </is>
      </c>
      <c r="I10" t="inlineStr">
        <is>
          <t>Neither</t>
        </is>
      </c>
      <c r="J10" t="n">
        <v>48.24</v>
      </c>
    </row>
    <row r="11">
      <c r="A11" t="inlineStr">
        <is>
          <t>20260502</t>
        </is>
      </c>
      <c r="B11" t="inlineStr">
        <is>
          <t>CDX</t>
        </is>
      </c>
      <c r="C11" t="n">
        <v>14</v>
      </c>
      <c r="D11" t="inlineStr">
        <is>
          <t>9</t>
        </is>
      </c>
      <c r="E11" t="n">
        <v>5.2</v>
      </c>
      <c r="F11" t="inlineStr">
        <is>
          <t>6</t>
        </is>
      </c>
      <c r="G11" t="n">
        <v>6</v>
      </c>
      <c r="H11" t="inlineStr">
        <is>
          <t>PRIZE PICK</t>
        </is>
      </c>
      <c r="I11" t="inlineStr">
        <is>
          <t>CM</t>
        </is>
      </c>
      <c r="J11" t="n">
        <v>15.88</v>
      </c>
    </row>
    <row r="12">
      <c r="A12" t="inlineStr">
        <is>
          <t>20260502</t>
        </is>
      </c>
      <c r="B12" t="inlineStr">
        <is>
          <t>DBY</t>
        </is>
      </c>
      <c r="C12" t="n">
        <v>12</v>
      </c>
      <c r="D12" t="inlineStr">
        <is>
          <t>15</t>
        </is>
      </c>
      <c r="E12" t="n">
        <v>7.05</v>
      </c>
      <c r="F12" t="inlineStr">
        <is>
          <t>18</t>
        </is>
      </c>
      <c r="G12" t="n">
        <v>6</v>
      </c>
      <c r="H12" t="inlineStr">
        <is>
          <t>GOLDEN TEMPO</t>
        </is>
      </c>
      <c r="I12" t="inlineStr">
        <is>
          <t>Neither</t>
        </is>
      </c>
      <c r="J12" t="n">
        <v>48.24</v>
      </c>
    </row>
    <row r="13">
      <c r="A13" t="inlineStr">
        <is>
          <t>20260507</t>
        </is>
      </c>
      <c r="B13" t="inlineStr">
        <is>
          <t>CDX</t>
        </is>
      </c>
      <c r="C13" t="n">
        <v>3</v>
      </c>
      <c r="D13" t="inlineStr">
        <is>
          <t>14</t>
        </is>
      </c>
      <c r="E13" t="n">
        <v>4.83</v>
      </c>
      <c r="F13" t="inlineStr">
        <is>
          <t>4</t>
        </is>
      </c>
      <c r="G13" t="n">
        <v>8</v>
      </c>
      <c r="H13" t="inlineStr">
        <is>
          <t>GYPSY ART</t>
        </is>
      </c>
      <c r="I13" t="inlineStr">
        <is>
          <t>CM</t>
        </is>
      </c>
      <c r="J13" t="n">
        <v>5.08</v>
      </c>
    </row>
    <row r="14">
      <c r="A14" t="inlineStr">
        <is>
          <t>20260507</t>
        </is>
      </c>
      <c r="B14" t="inlineStr">
        <is>
          <t>CDX</t>
        </is>
      </c>
      <c r="C14" t="n">
        <v>5</v>
      </c>
      <c r="D14" t="inlineStr">
        <is>
          <t>11</t>
        </is>
      </c>
      <c r="E14" t="n">
        <v>4.62</v>
      </c>
      <c r="F14" t="inlineStr">
        <is>
          <t>1</t>
        </is>
      </c>
      <c r="G14" t="n">
        <v>11</v>
      </c>
      <c r="H14" t="inlineStr">
        <is>
          <t>LLAMP</t>
        </is>
      </c>
      <c r="I14" t="inlineStr">
        <is>
          <t>CM</t>
        </is>
      </c>
      <c r="J14" t="n">
        <v>3.22</v>
      </c>
    </row>
    <row r="15">
      <c r="A15" t="inlineStr">
        <is>
          <t>20260507</t>
        </is>
      </c>
      <c r="B15" t="inlineStr">
        <is>
          <t>CDX</t>
        </is>
      </c>
      <c r="C15" t="n">
        <v>6</v>
      </c>
      <c r="D15" t="inlineStr">
        <is>
          <t>5</t>
        </is>
      </c>
      <c r="E15" t="n">
        <v>6.08</v>
      </c>
      <c r="F15" t="inlineStr">
        <is>
          <t>11</t>
        </is>
      </c>
      <c r="G15" t="n">
        <v>9</v>
      </c>
      <c r="H15" t="inlineStr">
        <is>
          <t>CLEVER MISCHIEF</t>
        </is>
      </c>
      <c r="I15" t="inlineStr">
        <is>
          <t>Neither</t>
        </is>
      </c>
      <c r="J15" t="n">
        <v>9.66</v>
      </c>
    </row>
    <row r="16">
      <c r="A16" t="inlineStr">
        <is>
          <t>20260507</t>
        </is>
      </c>
      <c r="B16" t="inlineStr">
        <is>
          <t>CDX</t>
        </is>
      </c>
      <c r="C16" t="n">
        <v>7</v>
      </c>
      <c r="D16" t="inlineStr">
        <is>
          <t>10</t>
        </is>
      </c>
      <c r="E16" t="n">
        <v>4.76</v>
      </c>
      <c r="F16" t="inlineStr">
        <is>
          <t>12</t>
        </is>
      </c>
      <c r="G16" t="n">
        <v>9</v>
      </c>
      <c r="H16" t="inlineStr">
        <is>
          <t>DON'T EVEN</t>
        </is>
      </c>
      <c r="I16" t="inlineStr">
        <is>
          <t>Neither</t>
        </is>
      </c>
      <c r="J16" t="n">
        <v>10.12</v>
      </c>
    </row>
    <row r="17">
      <c r="A17" t="inlineStr">
        <is>
          <t>20260507</t>
        </is>
      </c>
      <c r="B17" t="inlineStr">
        <is>
          <t>CDX</t>
        </is>
      </c>
      <c r="C17" t="n">
        <v>8</v>
      </c>
      <c r="D17" t="inlineStr">
        <is>
          <t>7</t>
        </is>
      </c>
      <c r="E17" t="n">
        <v>5.85</v>
      </c>
      <c r="F17" t="inlineStr">
        <is>
          <t>2</t>
        </is>
      </c>
      <c r="G17" t="n">
        <v>9</v>
      </c>
      <c r="H17" t="inlineStr">
        <is>
          <t>TURNER'S CHARM</t>
        </is>
      </c>
      <c r="I17" t="inlineStr">
        <is>
          <t>Neither</t>
        </is>
      </c>
      <c r="J17" t="n">
        <v>18.38</v>
      </c>
    </row>
    <row r="18">
      <c r="A18" t="inlineStr">
        <is>
          <t>20260509</t>
        </is>
      </c>
      <c r="B18" t="inlineStr">
        <is>
          <t>BAQ</t>
        </is>
      </c>
      <c r="C18" t="n">
        <v>1</v>
      </c>
      <c r="D18" t="inlineStr">
        <is>
          <t>6</t>
        </is>
      </c>
      <c r="E18" t="n">
        <v>5.08</v>
      </c>
      <c r="F18" t="inlineStr">
        <is>
          <t>4</t>
        </is>
      </c>
      <c r="G18" t="n">
        <v>11</v>
      </c>
      <c r="H18" t="inlineStr">
        <is>
          <t>KARLEY B</t>
        </is>
      </c>
      <c r="I18" t="inlineStr">
        <is>
          <t>CM</t>
        </is>
      </c>
      <c r="J18" t="n">
        <v>3.5</v>
      </c>
    </row>
    <row r="19">
      <c r="A19" t="inlineStr">
        <is>
          <t>20260509</t>
        </is>
      </c>
      <c r="B19" t="inlineStr">
        <is>
          <t>BAQ</t>
        </is>
      </c>
      <c r="C19" t="n">
        <v>2</v>
      </c>
      <c r="D19" t="inlineStr">
        <is>
          <t>4</t>
        </is>
      </c>
      <c r="E19" t="n">
        <v>4.89</v>
      </c>
      <c r="F19" t="inlineStr">
        <is>
          <t>1</t>
        </is>
      </c>
      <c r="G19" t="n">
        <v>8</v>
      </c>
      <c r="H19" t="inlineStr">
        <is>
          <t>ARIZONA TERRITORY</t>
        </is>
      </c>
      <c r="I19" t="inlineStr">
        <is>
          <t>Neither</t>
        </is>
      </c>
      <c r="J19" t="n">
        <v>2.94</v>
      </c>
    </row>
    <row r="20">
      <c r="A20" t="inlineStr">
        <is>
          <t>20260509</t>
        </is>
      </c>
      <c r="B20" t="inlineStr">
        <is>
          <t>BAQ</t>
        </is>
      </c>
      <c r="C20" t="n">
        <v>3</v>
      </c>
      <c r="D20" t="inlineStr">
        <is>
          <t>4</t>
        </is>
      </c>
      <c r="E20" t="n">
        <v>4.49</v>
      </c>
      <c r="F20" t="inlineStr">
        <is>
          <t>2</t>
        </is>
      </c>
      <c r="G20" t="n">
        <v>9</v>
      </c>
      <c r="H20" t="inlineStr">
        <is>
          <t>SUPERPOWER</t>
        </is>
      </c>
      <c r="I20" t="inlineStr">
        <is>
          <t>Neither</t>
        </is>
      </c>
      <c r="J20" t="n">
        <v>13.48</v>
      </c>
    </row>
    <row r="21">
      <c r="A21" t="inlineStr">
        <is>
          <t>20260509</t>
        </is>
      </c>
      <c r="B21" t="inlineStr">
        <is>
          <t>BAQ</t>
        </is>
      </c>
      <c r="C21" t="n">
        <v>4</v>
      </c>
      <c r="D21" t="inlineStr">
        <is>
          <t>3</t>
        </is>
      </c>
      <c r="E21" t="n">
        <v>5.42</v>
      </c>
      <c r="F21" t="inlineStr">
        <is>
          <t>6</t>
        </is>
      </c>
      <c r="G21" t="n">
        <v>7</v>
      </c>
      <c r="H21" t="inlineStr">
        <is>
          <t>DIVIDEND RECAP</t>
        </is>
      </c>
      <c r="I21" t="inlineStr">
        <is>
          <t>R5</t>
        </is>
      </c>
      <c r="J21" t="n">
        <v>6.02</v>
      </c>
    </row>
    <row r="22">
      <c r="A22" t="inlineStr">
        <is>
          <t>20260509</t>
        </is>
      </c>
      <c r="B22" t="inlineStr">
        <is>
          <t>BAQ</t>
        </is>
      </c>
      <c r="C22" t="n">
        <v>5</v>
      </c>
      <c r="D22" t="inlineStr">
        <is>
          <t>1</t>
        </is>
      </c>
      <c r="E22" t="n">
        <v>5.19</v>
      </c>
      <c r="F22" t="inlineStr">
        <is>
          <t>2</t>
        </is>
      </c>
      <c r="G22" t="n">
        <v>7</v>
      </c>
      <c r="H22" t="inlineStr">
        <is>
          <t>ROMAN GRACE</t>
        </is>
      </c>
      <c r="I22" t="inlineStr">
        <is>
          <t>Neither</t>
        </is>
      </c>
      <c r="J22" t="n">
        <v>13.74</v>
      </c>
    </row>
    <row r="23">
      <c r="A23" t="inlineStr">
        <is>
          <t>20260509</t>
        </is>
      </c>
      <c r="B23" t="inlineStr">
        <is>
          <t>BAQ</t>
        </is>
      </c>
      <c r="C23" t="n">
        <v>6</v>
      </c>
      <c r="D23" t="inlineStr">
        <is>
          <t>5</t>
        </is>
      </c>
      <c r="E23" t="n">
        <v>6.04</v>
      </c>
      <c r="F23" t="inlineStr">
        <is>
          <t>2</t>
        </is>
      </c>
      <c r="G23" t="n">
        <v>10</v>
      </c>
      <c r="H23" t="inlineStr">
        <is>
          <t>DURANTE</t>
        </is>
      </c>
      <c r="I23" t="inlineStr">
        <is>
          <t>Neither</t>
        </is>
      </c>
      <c r="J23" t="n">
        <v>16.5</v>
      </c>
    </row>
    <row r="24">
      <c r="A24" t="inlineStr">
        <is>
          <t>20260509</t>
        </is>
      </c>
      <c r="B24" t="inlineStr">
        <is>
          <t>BAQ</t>
        </is>
      </c>
      <c r="C24" t="n">
        <v>7</v>
      </c>
      <c r="D24" t="inlineStr">
        <is>
          <t>3</t>
        </is>
      </c>
      <c r="E24" t="n">
        <v>5.93</v>
      </c>
      <c r="F24" t="inlineStr">
        <is>
          <t>6</t>
        </is>
      </c>
      <c r="G24" t="n">
        <v>6</v>
      </c>
      <c r="H24" t="inlineStr">
        <is>
          <t>IRISH MAXIMA</t>
        </is>
      </c>
      <c r="I24" t="inlineStr">
        <is>
          <t>CM</t>
        </is>
      </c>
      <c r="J24" t="n">
        <v>14.44</v>
      </c>
    </row>
    <row r="25">
      <c r="A25" t="inlineStr">
        <is>
          <t>20260509</t>
        </is>
      </c>
      <c r="B25" t="inlineStr">
        <is>
          <t>BAQ</t>
        </is>
      </c>
      <c r="C25" t="n">
        <v>9</v>
      </c>
      <c r="D25" t="inlineStr">
        <is>
          <t>3</t>
        </is>
      </c>
      <c r="E25" t="n">
        <v>5.82</v>
      </c>
      <c r="F25" t="inlineStr">
        <is>
          <t>5</t>
        </is>
      </c>
      <c r="G25" t="n">
        <v>9</v>
      </c>
      <c r="H25" t="inlineStr">
        <is>
          <t>GROWTH EQUITY</t>
        </is>
      </c>
      <c r="I25" t="inlineStr">
        <is>
          <t>R5</t>
        </is>
      </c>
      <c r="J25" t="n">
        <v>4.04</v>
      </c>
    </row>
    <row r="26">
      <c r="A26" t="inlineStr">
        <is>
          <t>20260509</t>
        </is>
      </c>
      <c r="B26" t="inlineStr">
        <is>
          <t>BAQ</t>
        </is>
      </c>
      <c r="C26" t="n">
        <v>10</v>
      </c>
      <c r="D26" t="inlineStr">
        <is>
          <t>1</t>
        </is>
      </c>
      <c r="E26" t="n">
        <v>5.83</v>
      </c>
      <c r="F26" t="inlineStr">
        <is>
          <t>5</t>
        </is>
      </c>
      <c r="G26" t="n">
        <v>6</v>
      </c>
      <c r="H26" t="inlineStr">
        <is>
          <t>ARKHIPOV</t>
        </is>
      </c>
      <c r="I26" t="inlineStr">
        <is>
          <t>Neither</t>
        </is>
      </c>
      <c r="J26" t="n">
        <v>7.24</v>
      </c>
    </row>
    <row r="27">
      <c r="A27" t="inlineStr">
        <is>
          <t>20260510</t>
        </is>
      </c>
      <c r="B27" t="inlineStr">
        <is>
          <t>BAQ</t>
        </is>
      </c>
      <c r="C27" t="n">
        <v>1</v>
      </c>
      <c r="D27" t="inlineStr">
        <is>
          <t>4</t>
        </is>
      </c>
      <c r="E27" t="n">
        <v>3.63</v>
      </c>
      <c r="F27" t="inlineStr">
        <is>
          <t>6</t>
        </is>
      </c>
      <c r="G27" t="n">
        <v>10</v>
      </c>
      <c r="H27" t="inlineStr">
        <is>
          <t>BLUE ROOF BEAU</t>
        </is>
      </c>
      <c r="I27" t="inlineStr">
        <is>
          <t>Neither</t>
        </is>
      </c>
      <c r="J27" t="n">
        <v>7.28</v>
      </c>
    </row>
    <row r="28">
      <c r="A28" t="inlineStr">
        <is>
          <t>20260510</t>
        </is>
      </c>
      <c r="B28" t="inlineStr">
        <is>
          <t>BAQ</t>
        </is>
      </c>
      <c r="C28" t="n">
        <v>2</v>
      </c>
      <c r="D28" t="inlineStr">
        <is>
          <t>6</t>
        </is>
      </c>
      <c r="E28" t="n">
        <v>5.01</v>
      </c>
      <c r="F28" t="inlineStr">
        <is>
          <t>1</t>
        </is>
      </c>
      <c r="G28" t="n">
        <v>9</v>
      </c>
      <c r="H28" t="inlineStr">
        <is>
          <t>REMI'S MOON</t>
        </is>
      </c>
      <c r="I28" t="inlineStr">
        <is>
          <t>R5</t>
        </is>
      </c>
      <c r="J28" t="n">
        <v>5.16</v>
      </c>
    </row>
    <row r="29">
      <c r="A29" t="inlineStr">
        <is>
          <t>20260510</t>
        </is>
      </c>
      <c r="B29" t="inlineStr">
        <is>
          <t>BAQ</t>
        </is>
      </c>
      <c r="C29" t="n">
        <v>5</v>
      </c>
      <c r="D29" t="inlineStr">
        <is>
          <t>6</t>
        </is>
      </c>
      <c r="E29" t="n">
        <v>5.62</v>
      </c>
      <c r="F29" t="inlineStr">
        <is>
          <t>1</t>
        </is>
      </c>
      <c r="G29" t="n">
        <v>10</v>
      </c>
      <c r="H29" t="inlineStr">
        <is>
          <t>POINT OF REFERENCE</t>
        </is>
      </c>
      <c r="I29" t="inlineStr">
        <is>
          <t>Neither</t>
        </is>
      </c>
      <c r="J29" t="n">
        <v>7.26</v>
      </c>
    </row>
    <row r="30">
      <c r="A30" t="inlineStr">
        <is>
          <t>20260510</t>
        </is>
      </c>
      <c r="B30" t="inlineStr">
        <is>
          <t>BAQ</t>
        </is>
      </c>
      <c r="C30" t="n">
        <v>6</v>
      </c>
      <c r="D30" t="inlineStr">
        <is>
          <t>3</t>
        </is>
      </c>
      <c r="E30" t="n">
        <v>5.65</v>
      </c>
      <c r="F30" t="inlineStr">
        <is>
          <t>2</t>
        </is>
      </c>
      <c r="G30" t="n">
        <v>8</v>
      </c>
      <c r="H30" t="inlineStr">
        <is>
          <t>GLAVINE</t>
        </is>
      </c>
      <c r="I30" t="inlineStr">
        <is>
          <t>Neither</t>
        </is>
      </c>
      <c r="J30" t="n">
        <v>10.34</v>
      </c>
    </row>
    <row r="31">
      <c r="A31" t="inlineStr">
        <is>
          <t>20260510</t>
        </is>
      </c>
      <c r="B31" t="inlineStr">
        <is>
          <t>BAQ</t>
        </is>
      </c>
      <c r="C31" t="n">
        <v>7</v>
      </c>
      <c r="D31" t="inlineStr">
        <is>
          <t>5</t>
        </is>
      </c>
      <c r="E31" t="n">
        <v>6.41</v>
      </c>
      <c r="F31" t="inlineStr">
        <is>
          <t>1</t>
        </is>
      </c>
      <c r="G31" t="n">
        <v>6</v>
      </c>
      <c r="H31" t="inlineStr">
        <is>
          <t>I'M READY TO GO</t>
        </is>
      </c>
      <c r="I31" t="inlineStr">
        <is>
          <t>R5</t>
        </is>
      </c>
      <c r="J31" t="n">
        <v>4</v>
      </c>
    </row>
    <row r="32">
      <c r="A32" t="inlineStr">
        <is>
          <t>20260510</t>
        </is>
      </c>
      <c r="B32" t="inlineStr">
        <is>
          <t>BAQ</t>
        </is>
      </c>
      <c r="C32" t="n">
        <v>8</v>
      </c>
      <c r="D32" t="inlineStr">
        <is>
          <t>9</t>
        </is>
      </c>
      <c r="E32" t="n">
        <v>5.33</v>
      </c>
      <c r="F32" t="inlineStr">
        <is>
          <t>1</t>
        </is>
      </c>
      <c r="G32" t="n">
        <v>5</v>
      </c>
      <c r="H32" t="inlineStr">
        <is>
          <t>STICKUPWITHOUTAGUN</t>
        </is>
      </c>
      <c r="I32" t="inlineStr">
        <is>
          <t>Neither</t>
        </is>
      </c>
      <c r="J32" t="n">
        <v>4.68</v>
      </c>
    </row>
    <row r="33">
      <c r="A33" t="inlineStr">
        <is>
          <t>20260514</t>
        </is>
      </c>
      <c r="B33" t="inlineStr">
        <is>
          <t>CDX</t>
        </is>
      </c>
      <c r="C33" t="n">
        <v>2</v>
      </c>
      <c r="D33" t="inlineStr">
        <is>
          <t>4</t>
        </is>
      </c>
      <c r="E33" t="n">
        <v>4.97</v>
      </c>
      <c r="F33" t="inlineStr">
        <is>
          <t>3</t>
        </is>
      </c>
      <c r="G33" t="n">
        <v>11</v>
      </c>
      <c r="H33" t="inlineStr">
        <is>
          <t>GLOBAL SENSATION</t>
        </is>
      </c>
      <c r="I33" t="inlineStr">
        <is>
          <t>CM</t>
        </is>
      </c>
      <c r="J33" t="n">
        <v>3.7</v>
      </c>
    </row>
    <row r="34">
      <c r="A34" t="inlineStr">
        <is>
          <t>20260514</t>
        </is>
      </c>
      <c r="B34" t="inlineStr">
        <is>
          <t>CDX</t>
        </is>
      </c>
      <c r="C34" t="n">
        <v>3</v>
      </c>
      <c r="D34" t="inlineStr">
        <is>
          <t>6</t>
        </is>
      </c>
      <c r="E34" t="n">
        <v>5.81</v>
      </c>
      <c r="F34" t="inlineStr">
        <is>
          <t>8</t>
        </is>
      </c>
      <c r="G34" t="n">
        <v>7</v>
      </c>
      <c r="H34" t="inlineStr">
        <is>
          <t>BEIRA</t>
        </is>
      </c>
      <c r="I34" t="inlineStr">
        <is>
          <t>R5</t>
        </is>
      </c>
      <c r="J34" t="n">
        <v>9.06</v>
      </c>
    </row>
    <row r="35">
      <c r="A35" t="inlineStr">
        <is>
          <t>20260514</t>
        </is>
      </c>
      <c r="B35" t="inlineStr">
        <is>
          <t>CDX</t>
        </is>
      </c>
      <c r="C35" t="n">
        <v>5</v>
      </c>
      <c r="D35" t="inlineStr">
        <is>
          <t>8</t>
        </is>
      </c>
      <c r="E35" t="n">
        <v>6.23</v>
      </c>
      <c r="F35" t="inlineStr">
        <is>
          <t>5</t>
        </is>
      </c>
      <c r="G35" t="n">
        <v>4</v>
      </c>
      <c r="H35" t="inlineStr">
        <is>
          <t>SOLEIL VOLANT</t>
        </is>
      </c>
      <c r="I35" t="inlineStr">
        <is>
          <t>R5</t>
        </is>
      </c>
      <c r="J35" t="n">
        <v>52.06</v>
      </c>
    </row>
    <row r="36">
      <c r="A36" t="inlineStr">
        <is>
          <t>20260514</t>
        </is>
      </c>
      <c r="B36" t="inlineStr">
        <is>
          <t>CDX</t>
        </is>
      </c>
      <c r="C36" t="n">
        <v>6</v>
      </c>
      <c r="D36" t="inlineStr">
        <is>
          <t>1</t>
        </is>
      </c>
      <c r="E36" t="n">
        <v>6.43</v>
      </c>
      <c r="F36" t="inlineStr">
        <is>
          <t>8</t>
        </is>
      </c>
      <c r="G36" t="n">
        <v>7</v>
      </c>
      <c r="H36" t="inlineStr">
        <is>
          <t>CLASSIC CAR WASH</t>
        </is>
      </c>
      <c r="I36" t="inlineStr">
        <is>
          <t>CM</t>
        </is>
      </c>
      <c r="J36" t="n">
        <v>8.82</v>
      </c>
    </row>
    <row r="37">
      <c r="A37" t="inlineStr">
        <is>
          <t>20260514</t>
        </is>
      </c>
      <c r="B37" t="inlineStr">
        <is>
          <t>CDX</t>
        </is>
      </c>
      <c r="C37" t="n">
        <v>7</v>
      </c>
      <c r="D37" t="inlineStr">
        <is>
          <t>7</t>
        </is>
      </c>
      <c r="E37" t="n">
        <v>5.32</v>
      </c>
      <c r="F37" t="inlineStr">
        <is>
          <t>5</t>
        </is>
      </c>
      <c r="G37" t="n">
        <v>9</v>
      </c>
      <c r="H37" t="inlineStr">
        <is>
          <t>MASTER CONTROLLER</t>
        </is>
      </c>
      <c r="I37" t="inlineStr">
        <is>
          <t>Neither</t>
        </is>
      </c>
      <c r="J37" t="n">
        <v>32.5</v>
      </c>
    </row>
    <row r="38">
      <c r="A38" t="inlineStr">
        <is>
          <t>20260514</t>
        </is>
      </c>
      <c r="B38" t="inlineStr">
        <is>
          <t>CDX</t>
        </is>
      </c>
      <c r="C38" t="n">
        <v>8</v>
      </c>
      <c r="D38" t="inlineStr">
        <is>
          <t>3</t>
        </is>
      </c>
      <c r="E38" t="n">
        <v>4.7</v>
      </c>
      <c r="F38" t="inlineStr">
        <is>
          <t>13</t>
        </is>
      </c>
      <c r="G38" t="n">
        <v>10</v>
      </c>
      <c r="H38" t="inlineStr">
        <is>
          <t>TWIRLING CLAIRE</t>
        </is>
      </c>
      <c r="I38" t="inlineStr">
        <is>
          <t>R5</t>
        </is>
      </c>
      <c r="J38" t="n">
        <v>5.8</v>
      </c>
    </row>
    <row r="39">
      <c r="A39" t="inlineStr">
        <is>
          <t>20260516</t>
        </is>
      </c>
      <c r="B39" t="inlineStr">
        <is>
          <t>LRL</t>
        </is>
      </c>
      <c r="C39" t="n">
        <v>1</v>
      </c>
      <c r="D39" t="inlineStr">
        <is>
          <t>4</t>
        </is>
      </c>
      <c r="E39" t="n">
        <v>5.72</v>
      </c>
      <c r="F39" t="inlineStr">
        <is>
          <t>8</t>
        </is>
      </c>
      <c r="G39" t="n">
        <v>5</v>
      </c>
      <c r="H39" t="inlineStr">
        <is>
          <t>BOUJEE BUBBLEZ</t>
        </is>
      </c>
      <c r="I39" t="inlineStr">
        <is>
          <t>Neither</t>
        </is>
      </c>
      <c r="J39" t="n">
        <v>4</v>
      </c>
    </row>
    <row r="40">
      <c r="A40" t="inlineStr">
        <is>
          <t>20260516</t>
        </is>
      </c>
      <c r="B40" t="inlineStr">
        <is>
          <t>LRL</t>
        </is>
      </c>
      <c r="C40" t="n">
        <v>2</v>
      </c>
      <c r="D40" t="inlineStr">
        <is>
          <t>2</t>
        </is>
      </c>
      <c r="E40" t="n">
        <v>6.38</v>
      </c>
      <c r="F40" t="inlineStr">
        <is>
          <t>10</t>
        </is>
      </c>
      <c r="G40" t="n">
        <v>7</v>
      </c>
      <c r="H40" t="inlineStr">
        <is>
          <t>WICKEDDIVINE</t>
        </is>
      </c>
      <c r="I40" t="inlineStr">
        <is>
          <t>R5</t>
        </is>
      </c>
      <c r="J40" t="n">
        <v>1.6</v>
      </c>
    </row>
    <row r="41">
      <c r="A41" t="inlineStr">
        <is>
          <t>20260516</t>
        </is>
      </c>
      <c r="B41" t="inlineStr">
        <is>
          <t>LRL</t>
        </is>
      </c>
      <c r="C41" t="n">
        <v>4</v>
      </c>
      <c r="D41" t="inlineStr">
        <is>
          <t>2</t>
        </is>
      </c>
      <c r="E41" t="n">
        <v>7.02</v>
      </c>
      <c r="F41" t="inlineStr">
        <is>
          <t>1</t>
        </is>
      </c>
      <c r="G41" t="n">
        <v>9</v>
      </c>
      <c r="H41" t="inlineStr">
        <is>
          <t>STRIKER HAS DIAL</t>
        </is>
      </c>
      <c r="I41" t="inlineStr">
        <is>
          <t>CM</t>
        </is>
      </c>
      <c r="J41" t="n">
        <v>7.2</v>
      </c>
    </row>
    <row r="42">
      <c r="A42" t="inlineStr">
        <is>
          <t>20260516</t>
        </is>
      </c>
      <c r="B42" t="inlineStr">
        <is>
          <t>LRL</t>
        </is>
      </c>
      <c r="C42" t="n">
        <v>5</v>
      </c>
      <c r="D42" t="inlineStr">
        <is>
          <t>7</t>
        </is>
      </c>
      <c r="E42" t="n">
        <v>5.59</v>
      </c>
      <c r="F42" t="inlineStr">
        <is>
          <t>2</t>
        </is>
      </c>
      <c r="G42" t="n">
        <v>4</v>
      </c>
      <c r="H42" t="inlineStr">
        <is>
          <t>I LOVE GIRAFFES</t>
        </is>
      </c>
      <c r="I42" t="inlineStr">
        <is>
          <t>Neither</t>
        </is>
      </c>
      <c r="J42" t="n">
        <v>7.1</v>
      </c>
    </row>
    <row r="43">
      <c r="A43" t="inlineStr">
        <is>
          <t>20260516</t>
        </is>
      </c>
      <c r="B43" t="inlineStr">
        <is>
          <t>LRL</t>
        </is>
      </c>
      <c r="C43" t="n">
        <v>9</v>
      </c>
      <c r="D43" t="inlineStr">
        <is>
          <t>6</t>
        </is>
      </c>
      <c r="E43" t="n">
        <v>5.49</v>
      </c>
      <c r="F43" t="inlineStr">
        <is>
          <t>4</t>
        </is>
      </c>
      <c r="G43" t="n">
        <v>5</v>
      </c>
      <c r="H43" t="inlineStr">
        <is>
          <t>TURF STAR</t>
        </is>
      </c>
      <c r="I43" t="inlineStr">
        <is>
          <t>R5</t>
        </is>
      </c>
      <c r="J43" t="n">
        <v>4.2</v>
      </c>
    </row>
    <row r="44">
      <c r="A44" t="inlineStr">
        <is>
          <t>20260516</t>
        </is>
      </c>
      <c r="B44" t="inlineStr">
        <is>
          <t>LRL</t>
        </is>
      </c>
      <c r="C44" t="n">
        <v>10</v>
      </c>
      <c r="D44" t="inlineStr">
        <is>
          <t>3</t>
        </is>
      </c>
      <c r="E44" t="n">
        <v>5.74</v>
      </c>
      <c r="F44" t="inlineStr">
        <is>
          <t>6</t>
        </is>
      </c>
      <c r="G44" t="n">
        <v>8</v>
      </c>
      <c r="H44" t="inlineStr">
        <is>
          <t>FORT WASHINGTON</t>
        </is>
      </c>
      <c r="I44" t="inlineStr">
        <is>
          <t>Neither</t>
        </is>
      </c>
      <c r="J44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2026-05-21T02:06:26Z</dcterms:created>
  <dcterms:modified xsi:type="dcterms:W3CDTF">2026-05-21T02:06:26Z</dcterms:modified>
</cp:coreProperties>
</file>